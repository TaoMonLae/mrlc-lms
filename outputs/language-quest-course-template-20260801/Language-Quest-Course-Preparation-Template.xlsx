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819c36a6b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9eec02534464901"/>
    <x:sheet xmlns:r="http://schemas.openxmlformats.org/officeDocument/2006/relationships" name="Course" sheetId="2" r:id="Rd7538e7aa85a4e8a"/>
    <x:sheet xmlns:r="http://schemas.openxmlformats.org/officeDocument/2006/relationships" name="Units" sheetId="3" r:id="R2fa26205a2f64ca2"/>
    <x:sheet xmlns:r="http://schemas.openxmlformats.org/officeDocument/2006/relationships" name="Lessons" sheetId="4" r:id="R2edabc013e564dcc"/>
    <x:sheet xmlns:r="http://schemas.openxmlformats.org/officeDocument/2006/relationships" name="Challenges" sheetId="5" r:id="R2dd2c79fad0b4005"/>
    <x:sheet xmlns:r="http://schemas.openxmlformats.org/officeDocument/2006/relationships" name="Options" sheetId="6" r:id="Rd873294b795f4105"/>
    <x:sheet xmlns:r="http://schemas.openxmlformats.org/officeDocument/2006/relationships" name="Challenge Guide" sheetId="7" r:id="R1ef2c0ba9f124cd5"/>
    <x:sheet xmlns:r="http://schemas.openxmlformats.org/officeDocument/2006/relationships" name="Worked Example" sheetId="8" r:id="R22f3f7c62812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0"/>
      <x:color rgb="FFFFFFFF"/>
      <x:name val="Carlito"/>
    </x:font>
    <x:font>
      <x:b/>
      <x:sz val="11"/>
      <x:color rgb="FFD97706"/>
      <x:name val="Carlito"/>
    </x:font>
    <x:font>
      <x:sz val="10"/>
      <x:color rgb="FF334155"/>
      <x:name val="Carlito"/>
    </x:font>
    <x:font>
      <x:b/>
      <x:sz val="13"/>
      <x:color rgb="FFFFFFFF"/>
      <x:name val="Carlito"/>
    </x:font>
    <x:font>
      <x:b/>
      <x:sz val="15"/>
      <x:color rgb="FFB42318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0"/>
      <x:color rgb="FF4C1D4F"/>
      <x:name val="Carlito"/>
    </x:font>
    <x:font>
      <x:b/>
      <x:sz val="9"/>
      <x:color rgb="FF4C1D4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4C1D4F"/>
      </x:patternFill>
    </x:fill>
    <x:fill>
      <x:patternFill patternType="solid">
        <x:fgColor rgb="FFFFF9ED"/>
      </x:patternFill>
    </x:fill>
    <x:fill>
      <x:patternFill patternType="solid">
        <x:fgColor rgb="FFD97706"/>
      </x:patternFill>
    </x:fill>
    <x:fill>
      <x:patternFill patternType="solid">
        <x:fgColor rgb="FFFFF4D6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EE4E2"/>
      </x:patternFill>
    </x:fill>
    <x:fill>
      <x:patternFill patternType="solid">
        <x:fgColor rgb="FFEAF2FF"/>
      </x:patternFill>
    </x:fill>
    <x:fill>
      <x:patternFill patternType="solid">
        <x:fgColor rgb="FFF1F5F9"/>
      </x:patternFill>
    </x:fill>
    <x:fill>
      <x:patternFill patternType="solid">
        <x:fgColor rgb="FFF3E8F5"/>
      </x:patternFill>
    </x:fill>
  </x:fills>
  <x:borders count="6">
    <x:border/>
    <x:border>
      <x:left style="thin">
        <x:color rgb="FFD9D5CC"/>
      </x:left>
      <x:top style="thin">
        <x:color rgb="FFD9D5CC"/>
      </x:top>
      <x:bottom style="thin">
        <x:color rgb="FFD9D5CC"/>
      </x:bottom>
    </x:border>
    <x:border>
      <x:right style="thin">
        <x:color rgb="FFD9D5CC"/>
      </x:right>
      <x:top style="thin">
        <x:color rgb="FFD9D5CC"/>
      </x:top>
      <x:bottom style="thin">
        <x:color rgb="FFD9D5CC"/>
      </x:bottom>
    </x:border>
    <x:border>
      <x:left style="thin">
        <x:color rgb="FFD9D5CC"/>
      </x:left>
      <x:right style="thin">
        <x:color rgb="FFD9D5CC"/>
      </x:right>
      <x:top style="thin">
        <x:color rgb="FFD9D5CC"/>
      </x:top>
      <x:bottom style="thin">
        <x:color rgb="FFD9D5CC"/>
      </x:bottom>
    </x:border>
    <x:border>
      <x:top style="thin">
        <x:color rgb="FFD9D5CC"/>
      </x:top>
      <x:bottom style="thin">
        <x:color rgb="FFD9D5CC"/>
      </x:bottom>
    </x:border>
    <x:border>
      <x:bottom style="thin">
        <x:color rgb="FFD9D5CC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200" fontId="5" fillId="6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5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5" xfId="0" applyNumberFormat="1" applyFont="1" applyFill="1" applyBorder="1" applyAlignment="1">
      <x:alignment wrapText="1"/>
    </x:xf>
    <x:xf numFmtId="0" fontId="5" fillId="1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9" borderId="4" xfId="0" applyNumberFormat="1" applyFont="1" applyFill="1" applyBorder="1"/>
    <x:xf numFmtId="0" fontId="5" fillId="9" borderId="4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4" xfId="0" applyNumberFormat="1" applyFont="1" applyFill="1" applyBorder="1" applyAlignment="1">
      <x:alignment wrapText="1"/>
    </x:xf>
    <x:xf numFmtId="0" fontId="5" fillId="10" borderId="4" xfId="0" applyNumberFormat="1" applyFont="1" applyFill="1" applyBorder="1" applyAlignment="1">
      <x:alignment vertical="center" wrapText="1"/>
    </x:xf>
    <x:xf numFmtId="0" fontId="5" fillId="11" borderId="3" xfId="0" applyNumberFormat="1" applyFont="1" applyFill="1" applyBorder="1" applyAlignment="1">
      <x:alignment vertical="top" wrapText="1"/>
    </x:xf>
    <x:xf numFmtId="0" fontId="10" fillId="11" borderId="3" xfId="0" applyNumberFormat="1" applyFont="1" applyFill="1" applyBorder="1" applyAlignment="1">
      <x:alignment vertical="top" wrapText="1"/>
    </x:xf>
    <x:xf numFmtId="0" fontId="10" fillId="11" borderId="3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11" borderId="5" xfId="0" applyNumberFormat="1" applyFont="1" applyFill="1" applyBorder="1" applyAlignment="1">
      <x:alignment vertical="top" wrapText="1"/>
    </x:xf>
    <x:xf numFmtId="0" fontId="5" fillId="11" borderId="4" xfId="0" applyNumberFormat="1" applyFont="1" applyFill="1" applyBorder="1" applyAlignment="1">
      <x:alignment vertical="top" wrapText="1"/>
    </x:xf>
    <x:xf numFmtId="0" fontId="11" fillId="11" borderId="5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11" fillId="11" borderId="5" xfId="0" applyNumberFormat="1" applyFont="1" applyFill="1" applyBorder="1" applyAlignment="1">
      <x:alignment vertical="center" wrapText="1"/>
    </x:xf>
    <x:xf numFmtId="0" fontId="11" fillId="11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F766E"/>
      </x:font>
      <x:fill>
        <x:patternFill patternType="solid">
          <x:bgColor rgb="FFDD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f9581d18547a1" /><Relationship Type="http://schemas.openxmlformats.org/officeDocument/2006/relationships/theme" Target="/xl/theme/theme1.xml" Id="Rf5cf8365a1554ec0" /><Relationship Type="http://schemas.openxmlformats.org/officeDocument/2006/relationships/sharedStrings" Target="/xl/sharedStrings.xml" Id="R77714fd9ab304792" /><Relationship Type="http://schemas.openxmlformats.org/officeDocument/2006/relationships/worksheet" Target="/xl/worksheets/sheet1.xml" Id="Rd9eec02534464901" /><Relationship Type="http://schemas.openxmlformats.org/officeDocument/2006/relationships/worksheet" Target="/xl/worksheets/sheet2.xml" Id="Rd7538e7aa85a4e8a" /><Relationship Type="http://schemas.openxmlformats.org/officeDocument/2006/relationships/worksheet" Target="/xl/worksheets/sheet3.xml" Id="R2fa26205a2f64ca2" /><Relationship Type="http://schemas.openxmlformats.org/officeDocument/2006/relationships/worksheet" Target="/xl/worksheets/sheet4.xml" Id="R2edabc013e564dcc" /><Relationship Type="http://schemas.openxmlformats.org/officeDocument/2006/relationships/worksheet" Target="/xl/worksheets/sheet5.xml" Id="R2dd2c79fad0b4005" /><Relationship Type="http://schemas.openxmlformats.org/officeDocument/2006/relationships/worksheet" Target="/xl/worksheets/sheet6.xml" Id="Rd873294b795f4105" /><Relationship Type="http://schemas.openxmlformats.org/officeDocument/2006/relationships/worksheet" Target="/xl/worksheets/sheet7.xml" Id="R1ef2c0ba9f124cd5" /><Relationship Type="http://schemas.openxmlformats.org/officeDocument/2006/relationships/worksheet" Target="/xl/worksheets/sheet8.xml" Id="R22f3f7c628124048" /></Relationships>
</file>

<file path=xl/tables/table1.xml><?xml version="1.0" encoding="utf-8"?>
<x:table xmlns:x="http://schemas.openxmlformats.org/spreadsheetml/2006/main" id="1" name="CourseTable" displayName="CourseTable" ref="A4:H5" headerRowCount="1" totalsRowCount="0" totalsRowShown="0">
  <x:autoFilter ref="A4:H5"/>
  <x:tableColumns count="8">
    <x:tableColumn id="1" name="Course Title *"/>
    <x:tableColumn id="2" name="Description"/>
    <x:tableColumn id="3" name="Language *"/>
    <x:tableColumn id="4" name="Category"/>
    <x:tableColumn id="5" name="Image Emoji"/>
    <x:tableColumn id="6" name="Accent Color"/>
    <x:tableColumn id="7" name="Published"/>
    <x:tableColumn id="8" name="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UnitsTable" displayName="UnitsTable" ref="A4:E24" headerRowCount="1" totalsRowCount="0" totalsRowShown="0">
  <x:autoFilter ref="A4:E24"/>
  <x:tableColumns count="5">
    <x:tableColumn id="1" name="Unit ID *"/>
    <x:tableColumn id="2" name="Order *"/>
    <x:tableColumn id="3" name="Unit Title *"/>
    <x:tableColumn id="4" name="Description"/>
    <x:tableColumn id="5" name="Statu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LessonsTable" displayName="LessonsTable" ref="A4:F84" headerRowCount="1" totalsRowCount="0" totalsRowShown="0">
  <x:autoFilter ref="A4:F84"/>
  <x:tableColumns count="6">
    <x:tableColumn id="1" name="Lesson ID *"/>
    <x:tableColumn id="2" name="Unit ID *"/>
    <x:tableColumn id="3" name="Order *"/>
    <x:tableColumn id="4" name="Lesson Title *"/>
    <x:tableColumn id="5" name="Description"/>
    <x:tableColumn id="6" name="Statu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hallengesTable" displayName="ChallengesTable" ref="A4:I154" headerRowCount="1" totalsRowCount="0" totalsRowShown="0">
  <x:autoFilter ref="A4:I154"/>
  <x:tableColumns count="9">
    <x:tableColumn id="1" name="Challenge ID *"/>
    <x:tableColumn id="2" name="Lesson ID *"/>
    <x:tableColumn id="3" name="Order *"/>
    <x:tableColumn id="4" name="Challenge Type *"/>
    <x:tableColumn id="5" name="Question / Prompt *"/>
    <x:tableColumn id="6" name="Teaching Explanation"/>
    <x:tableColumn id="7" name="Option Count"/>
    <x:tableColumn id="8" name="Correct Count"/>
    <x:tableColumn id="9" name="Statu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ptionsTable" displayName="OptionsTable" ref="A4:G404" headerRowCount="1" totalsRowCount="0" totalsRowShown="0">
  <x:autoFilter ref="A4:G404"/>
  <x:tableColumns count="7">
    <x:tableColumn id="1" name="Challenge ID *"/>
    <x:tableColumn id="2" name="Option Order *"/>
    <x:tableColumn id="3" name="Option Text *"/>
    <x:tableColumn id="4" name="Correct? *"/>
    <x:tableColumn id="5" name="Emoji"/>
    <x:tableColumn id="6" name="Audio Text"/>
    <x:tableColumn id="7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3a37e4a353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63500765a45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44fca6fd684c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f8d4c629d84b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7612c83a5646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18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3" t="str">
        <x:v>Language Quest Course Preparation Template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Prepare one complete course in a format that follows the current MRLC–LMS Language Quest hierarchy and validation rules.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Step</x:v>
      </x:c>
      <x:c r="B4" s="15" t="str">
        <x:v>What to do</x:v>
      </x:c>
      <x:c r="D4" s="14" t="str">
        <x:v>Workbook sheet</x:v>
      </x:c>
      <x:c r="E4" s="28" t="str">
        <x:v>Purpose</x:v>
      </x:c>
      <x:c r="F4" s="28" t="str">
        <x:v>Required</x:v>
      </x:c>
      <x:c r="G4" s="28" t="str">
        <x:v>Maximum</x:v>
      </x:c>
      <x:c r="H4" s="15" t="str">
        <x:v>Status source</x:v>
      </x:c>
    </x:row>
    <x:row r="5" ht="29" customHeight="1">
      <x:c r="A5" s="24" t="n">
        <x:v>1</x:v>
      </x:c>
      <x:c r="B5" s="25" t="str">
        <x:v>Complete the single row on the Course sheet.</x:v>
      </x:c>
      <x:c r="D5" s="31" t="str">
        <x:v>Course</x:v>
      </x:c>
      <x:c r="E5" s="31" t="str">
        <x:v>One course profile</x:v>
      </x:c>
      <x:c r="F5" s="31" t="str">
        <x:v>1 row</x:v>
      </x:c>
      <x:c r="G5" s="31" t="str">
        <x:v>1 course</x:v>
      </x:c>
      <x:c r="H5" s="31" t="str">
        <x:v>Course status</x:v>
      </x:c>
    </x:row>
    <x:row r="6" ht="29" customHeight="1">
      <x:c r="A6" s="24" t="n">
        <x:v>2</x:v>
      </x:c>
      <x:c r="B6" s="25" t="str">
        <x:v>Give every unit a unique ID such as U01, then add units in teaching order.</x:v>
      </x:c>
      <x:c r="D6" s="31" t="str">
        <x:v>Units</x:v>
      </x:c>
      <x:c r="E6" s="31" t="str">
        <x:v>Top-level learning sections</x:v>
      </x:c>
      <x:c r="F6" s="31" t="str">
        <x:v>At least 1</x:v>
      </x:c>
      <x:c r="G6" s="31" t="str">
        <x:v>20 units</x:v>
      </x:c>
      <x:c r="H6" s="31" t="str">
        <x:v>Each row status</x:v>
      </x:c>
    </x:row>
    <x:row r="7" ht="29" customHeight="1">
      <x:c r="A7" s="24" t="n">
        <x:v>3</x:v>
      </x:c>
      <x:c r="B7" s="25" t="str">
        <x:v>Give every lesson a unique ID such as L01-01 and link it to a Unit ID.</x:v>
      </x:c>
      <x:c r="D7" s="31" t="str">
        <x:v>Lessons</x:v>
      </x:c>
      <x:c r="E7" s="31" t="str">
        <x:v>Teaching steps inside units</x:v>
      </x:c>
      <x:c r="F7" s="31" t="str">
        <x:v>At least 1</x:v>
      </x:c>
      <x:c r="G7" s="31" t="str">
        <x:v>30 per unit</x:v>
      </x:c>
      <x:c r="H7" s="31" t="str">
        <x:v>Each row status</x:v>
      </x:c>
    </x:row>
    <x:row r="8" ht="29" customHeight="1">
      <x:c r="A8" s="24" t="n">
        <x:v>4</x:v>
      </x:c>
      <x:c r="B8" s="25" t="str">
        <x:v>Give every challenge a unique ID such as C01-01-01 and link it to a Lesson ID.</x:v>
      </x:c>
      <x:c r="D8" s="31" t="str">
        <x:v>Challenges</x:v>
      </x:c>
      <x:c r="E8" s="31" t="str">
        <x:v>Questions and activity instructions</x:v>
      </x:c>
      <x:c r="F8" s="31" t="str">
        <x:v>At least 1</x:v>
      </x:c>
      <x:c r="G8" s="31" t="str">
        <x:v>50 per lesson</x:v>
      </x:c>
      <x:c r="H8" s="31" t="str">
        <x:v>Includes option rules</x:v>
      </x:c>
    </x:row>
    <x:row r="9" ht="29" customHeight="1">
      <x:c r="A9" s="24" t="n">
        <x:v>5</x:v>
      </x:c>
      <x:c r="B9" s="25" t="str">
        <x:v>Add answer rows on Options using the matching Challenge ID.</x:v>
      </x:c>
      <x:c r="D9" s="31" t="str">
        <x:v>Options</x:v>
      </x:c>
      <x:c r="E9" s="31" t="str">
        <x:v>Answers, reorder tiles, or matching pairs</x:v>
      </x:c>
      <x:c r="F9" s="31" t="str">
        <x:v>Per challenge type</x:v>
      </x:c>
      <x:c r="G9" s="31" t="str">
        <x:v>See Challenge Guide</x:v>
      </x:c>
      <x:c r="H9" s="31" t="str">
        <x:v>Each row status</x:v>
      </x:c>
    </x:row>
    <x:row r="10" ht="29" customHeight="1">
      <x:c r="A10" s="24" t="n">
        <x:v>6</x:v>
      </x:c>
      <x:c r="B10" s="25" t="str">
        <x:v>Return here and resolve every red status before review or import.</x:v>
      </x:c>
    </x:row>
    <x:row r="12">
      <x:c r="A12" s="34" t="str">
        <x:v>Course readiness</x:v>
      </x:c>
      <x:c r="B12" s="34"/>
      <x:c r="C12" s="34"/>
      <x:c r="D12" s="34"/>
      <x:c r="E12" s="34"/>
      <x:c r="F12" s="34"/>
      <x:c r="G12" s="34"/>
      <x:c r="H12" s="34"/>
    </x:row>
    <x:row r="13" ht="30" customHeight="1">
      <x:c r="A13" s="14" t="str">
        <x:v>Area</x:v>
      </x:c>
      <x:c r="B13" s="28" t="str">
        <x:v>Rows entered</x:v>
      </x:c>
      <x:c r="C13" s="28" t="str">
        <x:v>Ready</x:v>
      </x:c>
      <x:c r="D13" s="15" t="str">
        <x:v>Issues</x:v>
      </x:c>
    </x:row>
    <x:row r="14">
      <x:c r="A14" s="35" t="str">
        <x:v>Units</x:v>
      </x:c>
      <x:c r="B14" s="36" t="n">
        <x:f>COUNTA('Units'!$A$5:$A$24)</x:f>
        <x:v>0</x:v>
      </x:c>
      <x:c r="C14" s="36" t="n">
        <x:f>COUNTIF('Units'!$E$5:$E$24,"Ready")</x:f>
        <x:v>0</x:v>
      </x:c>
      <x:c r="D14" s="36" t="n">
        <x:f>B14-C14</x:f>
        <x:v>0</x:v>
      </x:c>
    </x:row>
    <x:row r="15">
      <x:c r="A15" s="35" t="str">
        <x:v>Lessons</x:v>
      </x:c>
      <x:c r="B15" s="36" t="n">
        <x:f>COUNTA('Lessons'!$A$5:$A$84)</x:f>
        <x:v>0</x:v>
      </x:c>
      <x:c r="C15" s="36" t="n">
        <x:f>COUNTIF('Lessons'!$F$5:$F$84,"Ready")</x:f>
        <x:v>0</x:v>
      </x:c>
      <x:c r="D15" s="36" t="n">
        <x:f>B15-C15</x:f>
        <x:v>0</x:v>
      </x:c>
    </x:row>
    <x:row r="16">
      <x:c r="A16" s="35" t="str">
        <x:v>Challenges</x:v>
      </x:c>
      <x:c r="B16" s="36" t="n">
        <x:f>COUNTA('Challenges'!$A$5:$A$154)</x:f>
        <x:v>0</x:v>
      </x:c>
      <x:c r="C16" s="36" t="n">
        <x:f>COUNTIF('Challenges'!$I$5:$I$154,"Ready")</x:f>
        <x:v>0</x:v>
      </x:c>
      <x:c r="D16" s="36" t="n">
        <x:f>B16-C16</x:f>
        <x:v>0</x:v>
      </x:c>
    </x:row>
    <x:row r="17">
      <x:c r="A17" s="35" t="str">
        <x:v>Options</x:v>
      </x:c>
      <x:c r="B17" s="36" t="n">
        <x:f>COUNTA('Options'!$A$5:$A$404)</x:f>
        <x:v>0</x:v>
      </x:c>
      <x:c r="C17" s="36" t="n">
        <x:f>COUNTIF('Options'!$G$5:$G$404,"Ready")</x:f>
        <x:v>0</x:v>
      </x:c>
      <x:c r="D17" s="36" t="n">
        <x:f>B17-C17</x:f>
        <x:v>0</x:v>
      </x:c>
    </x:row>
    <x:row r="18">
      <x:c r="A18" s="35" t="str">
        <x:v>Course profile</x:v>
      </x:c>
      <x:c r="B18" s="36" t="n">
        <x:f>IF('Course'!$H$5="",0,1)</x:f>
        <x:v>1</x:v>
      </x:c>
      <x:c r="C18" s="36" t="n">
        <x:f>IF('Course'!$H$5="Ready",1,0)</x:f>
        <x:v>0</x:v>
      </x:c>
      <x:c r="D18" s="36" t="n">
        <x:f>B18-C18</x:f>
        <x:v>1</x:v>
      </x:c>
    </x:row>
    <x:row r="20" ht="36" customHeight="1">
      <x:c r="A20" s="40" t="str">
        <x:f>IF(AND('Course'!$H$5="Ready",D14=0,D15=0,D16=0,D17=0,B14&gt;0,B15&gt;0,B16&gt;0,B17&gt;0),"READY TO REVIEW","COMPLETE THE RED ITEMS")</x:f>
        <x:v>COMPLETE THE RED ITEMS</x:v>
      </x:c>
      <x:c r="B20" s="40"/>
      <x:c r="C20" s="40"/>
      <x:c r="D20" s="40"/>
      <x:c r="E20" s="40"/>
      <x:c r="F20" s="40"/>
      <x:c r="G20" s="40"/>
      <x:c r="H20" s="40"/>
    </x:row>
    <x:row r="22">
      <x:c r="A22" s="44" t="str">
        <x:v>Blue cells are author inputs. Gray cells contain checks—do not overwrite them.</x:v>
      </x:c>
      <x:c r="B22" s="44"/>
      <x:c r="C22" s="44"/>
      <x:c r="D22" s="44"/>
      <x:c r="E22" s="44"/>
      <x:c r="F22" s="44"/>
      <x:c r="G22" s="44"/>
      <x:c r="H22" s="44"/>
    </x:row>
    <x:row r="23">
      <x:c r="A23" s="44" t="str">
        <x:v>IDs are preparation keys, not database IDs. Keep them unique and consistent across sheets.</x:v>
      </x:c>
      <x:c r="B23" s="44"/>
      <x:c r="C23" s="44"/>
      <x:c r="D23" s="44"/>
      <x:c r="E23" s="44"/>
      <x:c r="F23" s="44"/>
      <x:c r="G23" s="44"/>
      <x:c r="H23" s="44"/>
    </x:row>
    <x:row r="24">
      <x:c r="A24" s="44" t="str">
        <x:v>The Workbook does not publish anything by itself. Set Published to FALSE until the course has been reviewed.</x:v>
      </x:c>
      <x:c r="B24" s="44"/>
      <x:c r="C24" s="44"/>
      <x:c r="D24" s="44"/>
      <x:c r="E24" s="44"/>
      <x:c r="F24" s="44"/>
      <x:c r="G24" s="44"/>
      <x:c r="H24" s="44"/>
    </x:row>
    <x:row r="25">
      <x:c r="A25" s="44" t="str">
        <x:v>Use the Challenge Guide and Worked Example sheets when preparing special activity types.</x:v>
      </x:c>
      <x:c r="B25" s="44"/>
      <x:c r="C25" s="44"/>
      <x:c r="D25" s="44"/>
      <x:c r="E25" s="44"/>
      <x:c r="F25" s="44"/>
      <x:c r="G25" s="44"/>
      <x:c r="H25" s="44"/>
    </x:row>
  </x:sheetData>
  <x:mergeCells>
    <x:mergeCell ref="A1:H1"/>
    <x:mergeCell ref="A2:H2"/>
    <x:mergeCell ref="A12:H12"/>
    <x:mergeCell ref="A20:H20"/>
    <x:mergeCell ref="A22:H22"/>
    <x:mergeCell ref="A23:H23"/>
    <x:mergeCell ref="A24:H24"/>
    <x:mergeCell ref="A25:H25"/>
  </x:mergeCells>
  <x:conditionalFormatting sqref="A20:H20">
    <x:cfRule type="expression" dxfId="0" priority="1">
      <x:formula>$A$20="READY TO REVIEW"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21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</x:cols>
  <x:sheetData>
    <x:row r="1" ht="34" customHeight="1">
      <x:c r="A1" s="46" t="str">
        <x:v>Course</x:v>
      </x:c>
      <x:c r="B1" s="46" t="str">
        <x:v>Course</x:v>
      </x:c>
      <x:c r="C1" s="46" t="str">
        <x:v>Course</x:v>
      </x:c>
      <x:c r="D1" s="46" t="str">
        <x:v>Course</x:v>
      </x:c>
      <x:c r="E1" s="46" t="str">
        <x:v>Course</x:v>
      </x:c>
      <x:c r="F1" s="46" t="str">
        <x:v>Course</x:v>
      </x:c>
      <x:c r="G1" s="46" t="str">
        <x:v>Course</x:v>
      </x:c>
      <x:c r="H1" s="46" t="str">
        <x:v>Course</x:v>
      </x:c>
    </x:row>
    <x:row r="2" ht="34" customHeight="1">
      <x:c r="A2" s="49" t="str">
        <x:v>One row only. Replace the blue defaults and complete every required field before preparing the curriculum.</x:v>
      </x:c>
      <x:c r="B2" s="49" t="str">
        <x:v>One row only. Replace the blue defaults and complete every required field before preparing the curriculum.</x:v>
      </x:c>
      <x:c r="C2" s="49" t="str">
        <x:v>One row only. Replace the blue defaults and complete every required field before preparing the curriculum.</x:v>
      </x:c>
      <x:c r="D2" s="49" t="str">
        <x:v>One row only. Replace the blue defaults and complete every required field before preparing the curriculum.</x:v>
      </x:c>
      <x:c r="E2" s="49" t="str">
        <x:v>One row only. Replace the blue defaults and complete every required field before preparing the curriculum.</x:v>
      </x:c>
      <x:c r="F2" s="49" t="str">
        <x:v>One row only. Replace the blue defaults and complete every required field before preparing the curriculum.</x:v>
      </x:c>
      <x:c r="G2" s="49" t="str">
        <x:v>One row only. Replace the blue defaults and complete every required field before preparing the curriculum.</x:v>
      </x:c>
      <x:c r="H2" s="49" t="str">
        <x:v>One row only. Replace the blue defaults and complete every required field before preparing the curriculum.</x:v>
      </x:c>
    </x:row>
    <x:row r="4" ht="30" customHeight="1">
      <x:c r="A4" s="14" t="str">
        <x:v>Course Title *</x:v>
      </x:c>
      <x:c r="B4" s="28" t="str">
        <x:v>Description</x:v>
      </x:c>
      <x:c r="C4" s="28" t="str">
        <x:v>Language *</x:v>
      </x:c>
      <x:c r="D4" s="28" t="str">
        <x:v>Category</x:v>
      </x:c>
      <x:c r="E4" s="28" t="str">
        <x:v>Image Emoji</x:v>
      </x:c>
      <x:c r="F4" s="28" t="str">
        <x:v>Accent Color</x:v>
      </x:c>
      <x:c r="G4" s="28" t="str">
        <x:v>Published</x:v>
      </x:c>
      <x:c r="H4" s="15" t="str">
        <x:v>Status</x:v>
      </x:c>
    </x:row>
    <x:row r="5" ht="48" customHeight="1">
      <x:c r="A5" s="54" t="str"/>
      <x:c r="B5" s="54" t="str"/>
      <x:c r="C5" s="54" t="str"/>
      <x:c r="D5" s="54" t="str">
        <x:v>Other Courses</x:v>
      </x:c>
      <x:c r="E5" s="54" t="str">
        <x:v>🌍</x:v>
      </x:c>
      <x:c r="F5" s="54" t="str">
        <x:v>#7c3aed</x:v>
      </x:c>
      <x:c r="G5" s="54" t="str">
        <x:v>FALSE</x:v>
      </x:c>
      <x:c r="H5" s="59" t="str">
        <x:f>IF(OR(A5="",C5=""),"Missing required",IF(OR(LEN(F5)&lt;&gt;7,LEFT(F5,1)&lt;&gt;"#"),"Check accent color","Ready"))</x:f>
        <x:v>Missing required</x:v>
      </x:c>
    </x:row>
    <x:row r="7">
      <x:c r="A7" s="62" t="str">
        <x:v>Required: title (max 120 characters) and language (max 80).</x:v>
      </x:c>
      <x:c r="B7" s="62"/>
      <x:c r="C7" s="62"/>
      <x:c r="D7" s="62"/>
      <x:c r="E7" s="62"/>
      <x:c r="F7" s="62"/>
      <x:c r="G7" s="62"/>
      <x:c r="H7" s="62"/>
    </x:row>
    <x:row r="8">
      <x:c r="A8" s="62" t="str">
        <x:v>Description: max 1,000 characters. Category: max 80 characters.</x:v>
      </x:c>
      <x:c r="B8" s="62"/>
      <x:c r="C8" s="62"/>
      <x:c r="D8" s="62"/>
      <x:c r="E8" s="62"/>
      <x:c r="F8" s="62"/>
      <x:c r="G8" s="62"/>
      <x:c r="H8" s="62"/>
    </x:row>
    <x:row r="9">
      <x:c r="A9" s="62" t="str">
        <x:v>Image Emoji: max 16 characters. Accent Color must use #RRGGBB, for example #7c3aed.</x:v>
      </x:c>
      <x:c r="B9" s="62"/>
      <x:c r="C9" s="62"/>
      <x:c r="D9" s="62"/>
      <x:c r="E9" s="62"/>
      <x:c r="F9" s="62"/>
      <x:c r="G9" s="62"/>
      <x:c r="H9" s="62"/>
    </x:row>
    <x:row r="10">
      <x:c r="A10" s="62" t="str">
        <x:v>Keep Published as FALSE while preparing. Publishing requires at least one valid challenge.</x:v>
      </x:c>
      <x:c r="B10" s="62"/>
      <x:c r="C10" s="62"/>
      <x:c r="D10" s="62"/>
      <x:c r="E10" s="62"/>
      <x:c r="F10" s="62"/>
      <x:c r="G10" s="62"/>
      <x:c r="H10" s="62"/>
    </x:row>
  </x:sheetData>
  <x:mergeCells>
    <x:mergeCell ref="A1:H1"/>
    <x:mergeCell ref="A2:H2"/>
    <x:mergeCell ref="A7:H7"/>
    <x:mergeCell ref="A8:H8"/>
    <x:mergeCell ref="A9:H9"/>
    <x:mergeCell ref="A10:H10"/>
  </x:mergeCells>
  <x:conditionalFormatting sqref="H5:H5">
    <x:cfRule type="expression" dxfId="1" priority="1">
      <x:formula>$H5="Ready"</x:formula>
    </x:cfRule>
    <x:cfRule type="expression" dxfId="2" priority="2">
      <x:formula>AND($H5&lt;&gt;"",$H5&lt;&gt;"Ready")</x:formula>
    </x:cfRule>
  </x:conditionalFormatting>
  <x:dataValidations count="2">
    <x:dataValidation type="list" sqref="G5">
      <x:formula1>"FALSE,TRUE"</x:formula1>
    </x:dataValidation>
    <x:dataValidation type="list" sqref="D5">
      <x:formula1>"Chinese Courses,English Courses,Spanish Courses,Malay Courses,Other Courses"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3a37e4a35340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32" hidden="0" customWidth="1"/>
    <x:col min="4" max="4" width="58" hidden="0" customWidth="1"/>
    <x:col min="5" max="5" width="23" hidden="0" customWidth="1"/>
  </x:cols>
  <x:sheetData>
    <x:row r="1" ht="34" customHeight="1">
      <x:c r="A1" s="46" t="str">
        <x:v>Units</x:v>
      </x:c>
      <x:c r="B1" s="46" t="str">
        <x:v>Units</x:v>
      </x:c>
      <x:c r="C1" s="46" t="str">
        <x:v>Units</x:v>
      </x:c>
      <x:c r="D1" s="46" t="str">
        <x:v>Units</x:v>
      </x:c>
      <x:c r="E1" s="46" t="str">
        <x:v>Units</x:v>
      </x:c>
    </x:row>
    <x:row r="2" ht="34" customHeight="1">
      <x:c r="A2" s="49" t="str">
        <x:v>Add up to 20 units. Unit ID is a preparation key such as U01; it is used by the Lessons sheet.</x:v>
      </x:c>
      <x:c r="B2" s="49" t="str">
        <x:v>Add up to 20 units. Unit ID is a preparation key such as U01; it is used by the Lessons sheet.</x:v>
      </x:c>
      <x:c r="C2" s="49" t="str">
        <x:v>Add up to 20 units. Unit ID is a preparation key such as U01; it is used by the Lessons sheet.</x:v>
      </x:c>
      <x:c r="D2" s="49" t="str">
        <x:v>Add up to 20 units. Unit ID is a preparation key such as U01; it is used by the Lessons sheet.</x:v>
      </x:c>
      <x:c r="E2" s="49" t="str">
        <x:v>Add up to 20 units. Unit ID is a preparation key such as U01; it is used by the Lessons sheet.</x:v>
      </x:c>
    </x:row>
    <x:row r="4" ht="30" customHeight="1">
      <x:c r="A4" s="14" t="str">
        <x:v>Unit ID *</x:v>
      </x:c>
      <x:c r="B4" s="28" t="str">
        <x:v>Order *</x:v>
      </x:c>
      <x:c r="C4" s="28" t="str">
        <x:v>Unit Title *</x:v>
      </x:c>
      <x:c r="D4" s="28" t="str">
        <x:v>Description</x:v>
      </x:c>
      <x:c r="E4" s="15" t="str">
        <x:v>Status</x:v>
      </x:c>
    </x:row>
    <x:row r="5">
      <x:c r="A5" s="54"/>
      <x:c r="B5" s="54"/>
      <x:c r="C5" s="54"/>
      <x:c r="D5" s="54"/>
      <x:c r="E5" s="59" t="str">
        <x:f>IF(COUNTA(A5:D5)=0,"",IF(OR(A5="",B5="",C5=""),"Missing required",IF(COUNTIF($A$5:$A$24,A5)&gt;1,"Duplicate unit ID","Ready")))</x:f>
      </x:c>
    </x:row>
    <x:row r="6">
      <x:c r="A6" s="65"/>
      <x:c r="B6" s="65"/>
      <x:c r="C6" s="65"/>
      <x:c r="D6" s="65"/>
      <x:c r="E6" s="68" t="str">
        <x:f>IF(COUNTA(A6:D6)=0,"",IF(OR(A6="",B6="",C6=""),"Missing required",IF(COUNTIF($A$5:$A$24,A6)&gt;1,"Duplicate unit ID","Ready")))</x:f>
      </x:c>
    </x:row>
    <x:row r="7">
      <x:c r="A7" s="65"/>
      <x:c r="B7" s="65"/>
      <x:c r="C7" s="65"/>
      <x:c r="D7" s="65"/>
      <x:c r="E7" s="68" t="str">
        <x:f>IF(COUNTA(A7:D7)=0,"",IF(OR(A7="",B7="",C7=""),"Missing required",IF(COUNTIF($A$5:$A$24,A7)&gt;1,"Duplicate unit ID","Ready")))</x:f>
      </x:c>
    </x:row>
    <x:row r="8">
      <x:c r="A8" s="65"/>
      <x:c r="B8" s="65"/>
      <x:c r="C8" s="65"/>
      <x:c r="D8" s="65"/>
      <x:c r="E8" s="68" t="str">
        <x:f>IF(COUNTA(A8:D8)=0,"",IF(OR(A8="",B8="",C8=""),"Missing required",IF(COUNTIF($A$5:$A$24,A8)&gt;1,"Duplicate unit ID","Ready")))</x:f>
      </x:c>
    </x:row>
    <x:row r="9">
      <x:c r="A9" s="65"/>
      <x:c r="B9" s="65"/>
      <x:c r="C9" s="65"/>
      <x:c r="D9" s="65"/>
      <x:c r="E9" s="68" t="str">
        <x:f>IF(COUNTA(A9:D9)=0,"",IF(OR(A9="",B9="",C9=""),"Missing required",IF(COUNTIF($A$5:$A$24,A9)&gt;1,"Duplicate unit ID","Ready")))</x:f>
      </x:c>
    </x:row>
    <x:row r="10">
      <x:c r="A10" s="65"/>
      <x:c r="B10" s="65"/>
      <x:c r="C10" s="65"/>
      <x:c r="D10" s="65"/>
      <x:c r="E10" s="68" t="str">
        <x:f>IF(COUNTA(A10:D10)=0,"",IF(OR(A10="",B10="",C10=""),"Missing required",IF(COUNTIF($A$5:$A$24,A10)&gt;1,"Duplicate unit ID","Ready")))</x:f>
      </x:c>
    </x:row>
    <x:row r="11">
      <x:c r="A11" s="65"/>
      <x:c r="B11" s="65"/>
      <x:c r="C11" s="65"/>
      <x:c r="D11" s="65"/>
      <x:c r="E11" s="68" t="str">
        <x:f>IF(COUNTA(A11:D11)=0,"",IF(OR(A11="",B11="",C11=""),"Missing required",IF(COUNTIF($A$5:$A$24,A11)&gt;1,"Duplicate unit ID","Ready")))</x:f>
      </x:c>
    </x:row>
    <x:row r="12">
      <x:c r="A12" s="65"/>
      <x:c r="B12" s="65"/>
      <x:c r="C12" s="65"/>
      <x:c r="D12" s="65"/>
      <x:c r="E12" s="68" t="str">
        <x:f>IF(COUNTA(A12:D12)=0,"",IF(OR(A12="",B12="",C12=""),"Missing required",IF(COUNTIF($A$5:$A$24,A12)&gt;1,"Duplicate unit ID","Ready")))</x:f>
      </x:c>
    </x:row>
    <x:row r="13">
      <x:c r="A13" s="65"/>
      <x:c r="B13" s="65"/>
      <x:c r="C13" s="65"/>
      <x:c r="D13" s="65"/>
      <x:c r="E13" s="68" t="str">
        <x:f>IF(COUNTA(A13:D13)=0,"",IF(OR(A13="",B13="",C13=""),"Missing required",IF(COUNTIF($A$5:$A$24,A13)&gt;1,"Duplicate unit ID","Ready")))</x:f>
      </x:c>
    </x:row>
    <x:row r="14">
      <x:c r="A14" s="65"/>
      <x:c r="B14" s="65"/>
      <x:c r="C14" s="65"/>
      <x:c r="D14" s="65"/>
      <x:c r="E14" s="68" t="str">
        <x:f>IF(COUNTA(A14:D14)=0,"",IF(OR(A14="",B14="",C14=""),"Missing required",IF(COUNTIF($A$5:$A$24,A14)&gt;1,"Duplicate unit ID","Ready")))</x:f>
      </x:c>
    </x:row>
    <x:row r="15">
      <x:c r="A15" s="65"/>
      <x:c r="B15" s="65"/>
      <x:c r="C15" s="65"/>
      <x:c r="D15" s="65"/>
      <x:c r="E15" s="68" t="str">
        <x:f>IF(COUNTA(A15:D15)=0,"",IF(OR(A15="",B15="",C15=""),"Missing required",IF(COUNTIF($A$5:$A$24,A15)&gt;1,"Duplicate unit ID","Ready")))</x:f>
      </x:c>
    </x:row>
    <x:row r="16">
      <x:c r="A16" s="65"/>
      <x:c r="B16" s="65"/>
      <x:c r="C16" s="65"/>
      <x:c r="D16" s="65"/>
      <x:c r="E16" s="68" t="str">
        <x:f>IF(COUNTA(A16:D16)=0,"",IF(OR(A16="",B16="",C16=""),"Missing required",IF(COUNTIF($A$5:$A$24,A16)&gt;1,"Duplicate unit ID","Ready")))</x:f>
      </x:c>
    </x:row>
    <x:row r="17">
      <x:c r="A17" s="65"/>
      <x:c r="B17" s="65"/>
      <x:c r="C17" s="65"/>
      <x:c r="D17" s="65"/>
      <x:c r="E17" s="68" t="str">
        <x:f>IF(COUNTA(A17:D17)=0,"",IF(OR(A17="",B17="",C17=""),"Missing required",IF(COUNTIF($A$5:$A$24,A17)&gt;1,"Duplicate unit ID","Ready")))</x:f>
      </x:c>
    </x:row>
    <x:row r="18">
      <x:c r="A18" s="65"/>
      <x:c r="B18" s="65"/>
      <x:c r="C18" s="65"/>
      <x:c r="D18" s="65"/>
      <x:c r="E18" s="68" t="str">
        <x:f>IF(COUNTA(A18:D18)=0,"",IF(OR(A18="",B18="",C18=""),"Missing required",IF(COUNTIF($A$5:$A$24,A18)&gt;1,"Duplicate unit ID","Ready")))</x:f>
      </x:c>
    </x:row>
    <x:row r="19">
      <x:c r="A19" s="65"/>
      <x:c r="B19" s="65"/>
      <x:c r="C19" s="65"/>
      <x:c r="D19" s="65"/>
      <x:c r="E19" s="68" t="str">
        <x:f>IF(COUNTA(A19:D19)=0,"",IF(OR(A19="",B19="",C19=""),"Missing required",IF(COUNTIF($A$5:$A$24,A19)&gt;1,"Duplicate unit ID","Ready")))</x:f>
      </x:c>
    </x:row>
    <x:row r="20">
      <x:c r="A20" s="65"/>
      <x:c r="B20" s="65"/>
      <x:c r="C20" s="65"/>
      <x:c r="D20" s="65"/>
      <x:c r="E20" s="68" t="str">
        <x:f>IF(COUNTA(A20:D20)=0,"",IF(OR(A20="",B20="",C20=""),"Missing required",IF(COUNTIF($A$5:$A$24,A20)&gt;1,"Duplicate unit ID","Ready")))</x:f>
      </x:c>
    </x:row>
    <x:row r="21">
      <x:c r="A21" s="65"/>
      <x:c r="B21" s="65"/>
      <x:c r="C21" s="65"/>
      <x:c r="D21" s="65"/>
      <x:c r="E21" s="68" t="str">
        <x:f>IF(COUNTA(A21:D21)=0,"",IF(OR(A21="",B21="",C21=""),"Missing required",IF(COUNTIF($A$5:$A$24,A21)&gt;1,"Duplicate unit ID","Ready")))</x:f>
      </x:c>
    </x:row>
    <x:row r="22">
      <x:c r="A22" s="65"/>
      <x:c r="B22" s="65"/>
      <x:c r="C22" s="65"/>
      <x:c r="D22" s="65"/>
      <x:c r="E22" s="68" t="str">
        <x:f>IF(COUNTA(A22:D22)=0,"",IF(OR(A22="",B22="",C22=""),"Missing required",IF(COUNTIF($A$5:$A$24,A22)&gt;1,"Duplicate unit ID","Ready")))</x:f>
      </x:c>
    </x:row>
    <x:row r="23">
      <x:c r="A23" s="65"/>
      <x:c r="B23" s="65"/>
      <x:c r="C23" s="65"/>
      <x:c r="D23" s="65"/>
      <x:c r="E23" s="68" t="str">
        <x:f>IF(COUNTA(A23:D23)=0,"",IF(OR(A23="",B23="",C23=""),"Missing required",IF(COUNTIF($A$5:$A$24,A23)&gt;1,"Duplicate unit ID","Ready")))</x:f>
      </x:c>
    </x:row>
    <x:row r="24">
      <x:c r="A24" s="65"/>
      <x:c r="B24" s="65"/>
      <x:c r="C24" s="65"/>
      <x:c r="D24" s="65"/>
      <x:c r="E24" s="68" t="str">
        <x:f>IF(COUNTA(A24:D24)=0,"",IF(OR(A24="",B24="",C24=""),"Missing required",IF(COUNTIF($A$5:$A$24,A24)&gt;1,"Duplicate unit ID","Ready")))</x:f>
      </x:c>
    </x:row>
  </x:sheetData>
  <x:mergeCells>
    <x:mergeCell ref="A1:E1"/>
    <x:mergeCell ref="A2:E2"/>
  </x:mergeCells>
  <x:conditionalFormatting sqref="E5:E24">
    <x:cfRule type="expression" dxfId="3" priority="1">
      <x:formula>$E5="Ready"</x:formula>
    </x:cfRule>
    <x:cfRule type="expression" dxfId="4" priority="2">
      <x:formula>AND($E5&lt;&gt;"",$E5&lt;&gt;"Ready")</x:formula>
    </x:cfRule>
  </x:conditionalFormatting>
  <x:dataValidations count="1">
    <x:dataValidation type="whole" operator="between" sqref="B5:B24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a63500765a45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1" hidden="0" customWidth="1"/>
    <x:col min="4" max="4" width="32" hidden="0" customWidth="1"/>
    <x:col min="5" max="5" width="56" hidden="0" customWidth="1"/>
    <x:col min="6" max="6" width="23" hidden="0" customWidth="1"/>
  </x:cols>
  <x:sheetData>
    <x:row r="1" ht="34" customHeight="1">
      <x:c r="A1" s="46" t="str">
        <x:v>Lessons</x:v>
      </x:c>
      <x:c r="B1" s="46" t="str">
        <x:v>Lessons</x:v>
      </x:c>
      <x:c r="C1" s="46" t="str">
        <x:v>Lessons</x:v>
      </x:c>
      <x:c r="D1" s="46" t="str">
        <x:v>Lessons</x:v>
      </x:c>
      <x:c r="E1" s="46" t="str">
        <x:v>Lessons</x:v>
      </x:c>
      <x:c r="F1" s="46" t="str">
        <x:v>Lessons</x:v>
      </x:c>
    </x:row>
    <x:row r="2" ht="34" customHeight="1">
      <x:c r="A2" s="49" t="str">
        <x:v>Link every lesson to a Unit ID. Lesson order restarts at 1 inside each unit.</x:v>
      </x:c>
      <x:c r="B2" s="49" t="str">
        <x:v>Link every lesson to a Unit ID. Lesson order restarts at 1 inside each unit.</x:v>
      </x:c>
      <x:c r="C2" s="49" t="str">
        <x:v>Link every lesson to a Unit ID. Lesson order restarts at 1 inside each unit.</x:v>
      </x:c>
      <x:c r="D2" s="49" t="str">
        <x:v>Link every lesson to a Unit ID. Lesson order restarts at 1 inside each unit.</x:v>
      </x:c>
      <x:c r="E2" s="49" t="str">
        <x:v>Link every lesson to a Unit ID. Lesson order restarts at 1 inside each unit.</x:v>
      </x:c>
      <x:c r="F2" s="49" t="str">
        <x:v>Link every lesson to a Unit ID. Lesson order restarts at 1 inside each unit.</x:v>
      </x:c>
    </x:row>
    <x:row r="4" ht="30" customHeight="1">
      <x:c r="A4" s="14" t="str">
        <x:v>Lesson ID *</x:v>
      </x:c>
      <x:c r="B4" s="28" t="str">
        <x:v>Unit ID *</x:v>
      </x:c>
      <x:c r="C4" s="28" t="str">
        <x:v>Order *</x:v>
      </x:c>
      <x:c r="D4" s="28" t="str">
        <x:v>Lesson Title *</x:v>
      </x:c>
      <x:c r="E4" s="28" t="str">
        <x:v>Description</x:v>
      </x:c>
      <x:c r="F4" s="15" t="str">
        <x:v>Status</x:v>
      </x:c>
    </x:row>
    <x:row r="5">
      <x:c r="A5" s="54"/>
      <x:c r="B5" s="54"/>
      <x:c r="C5" s="54"/>
      <x:c r="D5" s="54"/>
      <x:c r="E5" s="54"/>
      <x:c r="F5" s="59" t="str">
        <x:f>IF(COUNTA(A5:E5)=0,"",IF(OR(A5="",B5="",C5="",D5=""),"Missing required",IF(COUNTIF($A$5:$A$84,A5)&gt;1,"Duplicate lesson ID",IF(COUNTIF('Units'!$A$5:$A$24,B5)=0,"Unknown unit ID","Ready"))))</x:f>
      </x:c>
    </x:row>
    <x:row r="6">
      <x:c r="A6" s="65"/>
      <x:c r="B6" s="65"/>
      <x:c r="C6" s="65"/>
      <x:c r="D6" s="65"/>
      <x:c r="E6" s="65"/>
      <x:c r="F6" s="68" t="str">
        <x:f>IF(COUNTA(A6:E6)=0,"",IF(OR(A6="",B6="",C6="",D6=""),"Missing required",IF(COUNTIF($A$5:$A$84,A6)&gt;1,"Duplicate lesson ID",IF(COUNTIF('Units'!$A$5:$A$24,B6)=0,"Unknown unit ID","Ready"))))</x:f>
      </x:c>
    </x:row>
    <x:row r="7">
      <x:c r="A7" s="65"/>
      <x:c r="B7" s="65"/>
      <x:c r="C7" s="65"/>
      <x:c r="D7" s="65"/>
      <x:c r="E7" s="65"/>
      <x:c r="F7" s="68" t="str">
        <x:f>IF(COUNTA(A7:E7)=0,"",IF(OR(A7="",B7="",C7="",D7=""),"Missing required",IF(COUNTIF($A$5:$A$84,A7)&gt;1,"Duplicate lesson ID",IF(COUNTIF('Units'!$A$5:$A$24,B7)=0,"Unknown unit ID","Ready"))))</x:f>
      </x:c>
    </x:row>
    <x:row r="8">
      <x:c r="A8" s="65"/>
      <x:c r="B8" s="65"/>
      <x:c r="C8" s="65"/>
      <x:c r="D8" s="65"/>
      <x:c r="E8" s="65"/>
      <x:c r="F8" s="68" t="str">
        <x:f>IF(COUNTA(A8:E8)=0,"",IF(OR(A8="",B8="",C8="",D8=""),"Missing required",IF(COUNTIF($A$5:$A$84,A8)&gt;1,"Duplicate lesson ID",IF(COUNTIF('Units'!$A$5:$A$24,B8)=0,"Unknown unit ID","Ready"))))</x:f>
      </x:c>
    </x:row>
    <x:row r="9">
      <x:c r="A9" s="65"/>
      <x:c r="B9" s="65"/>
      <x:c r="C9" s="65"/>
      <x:c r="D9" s="65"/>
      <x:c r="E9" s="65"/>
      <x:c r="F9" s="68" t="str">
        <x:f>IF(COUNTA(A9:E9)=0,"",IF(OR(A9="",B9="",C9="",D9=""),"Missing required",IF(COUNTIF($A$5:$A$84,A9)&gt;1,"Duplicate lesson ID",IF(COUNTIF('Units'!$A$5:$A$24,B9)=0,"Unknown unit ID","Ready"))))</x:f>
      </x:c>
    </x:row>
    <x:row r="10">
      <x:c r="A10" s="65"/>
      <x:c r="B10" s="65"/>
      <x:c r="C10" s="65"/>
      <x:c r="D10" s="65"/>
      <x:c r="E10" s="65"/>
      <x:c r="F10" s="68" t="str">
        <x:f>IF(COUNTA(A10:E10)=0,"",IF(OR(A10="",B10="",C10="",D10=""),"Missing required",IF(COUNTIF($A$5:$A$84,A10)&gt;1,"Duplicate lesson ID",IF(COUNTIF('Units'!$A$5:$A$24,B10)=0,"Unknown unit ID","Ready"))))</x:f>
      </x:c>
    </x:row>
    <x:row r="11">
      <x:c r="A11" s="65"/>
      <x:c r="B11" s="65"/>
      <x:c r="C11" s="65"/>
      <x:c r="D11" s="65"/>
      <x:c r="E11" s="65"/>
      <x:c r="F11" s="68" t="str">
        <x:f>IF(COUNTA(A11:E11)=0,"",IF(OR(A11="",B11="",C11="",D11=""),"Missing required",IF(COUNTIF($A$5:$A$84,A11)&gt;1,"Duplicate lesson ID",IF(COUNTIF('Units'!$A$5:$A$24,B11)=0,"Unknown unit ID","Ready"))))</x:f>
      </x:c>
    </x:row>
    <x:row r="12">
      <x:c r="A12" s="65"/>
      <x:c r="B12" s="65"/>
      <x:c r="C12" s="65"/>
      <x:c r="D12" s="65"/>
      <x:c r="E12" s="65"/>
      <x:c r="F12" s="68" t="str">
        <x:f>IF(COUNTA(A12:E12)=0,"",IF(OR(A12="",B12="",C12="",D12=""),"Missing required",IF(COUNTIF($A$5:$A$84,A12)&gt;1,"Duplicate lesson ID",IF(COUNTIF('Units'!$A$5:$A$24,B12)=0,"Unknown unit ID","Ready"))))</x:f>
      </x:c>
    </x:row>
    <x:row r="13">
      <x:c r="A13" s="65"/>
      <x:c r="B13" s="65"/>
      <x:c r="C13" s="65"/>
      <x:c r="D13" s="65"/>
      <x:c r="E13" s="65"/>
      <x:c r="F13" s="68" t="str">
        <x:f>IF(COUNTA(A13:E13)=0,"",IF(OR(A13="",B13="",C13="",D13=""),"Missing required",IF(COUNTIF($A$5:$A$84,A13)&gt;1,"Duplicate lesson ID",IF(COUNTIF('Units'!$A$5:$A$24,B13)=0,"Unknown unit ID","Ready"))))</x:f>
      </x:c>
    </x:row>
    <x:row r="14">
      <x:c r="A14" s="65"/>
      <x:c r="B14" s="65"/>
      <x:c r="C14" s="65"/>
      <x:c r="D14" s="65"/>
      <x:c r="E14" s="65"/>
      <x:c r="F14" s="68" t="str">
        <x:f>IF(COUNTA(A14:E14)=0,"",IF(OR(A14="",B14="",C14="",D14=""),"Missing required",IF(COUNTIF($A$5:$A$84,A14)&gt;1,"Duplicate lesson ID",IF(COUNTIF('Units'!$A$5:$A$24,B14)=0,"Unknown unit ID","Ready"))))</x:f>
      </x:c>
    </x:row>
    <x:row r="15">
      <x:c r="A15" s="65"/>
      <x:c r="B15" s="65"/>
      <x:c r="C15" s="65"/>
      <x:c r="D15" s="65"/>
      <x:c r="E15" s="65"/>
      <x:c r="F15" s="68" t="str">
        <x:f>IF(COUNTA(A15:E15)=0,"",IF(OR(A15="",B15="",C15="",D15=""),"Missing required",IF(COUNTIF($A$5:$A$84,A15)&gt;1,"Duplicate lesson ID",IF(COUNTIF('Units'!$A$5:$A$24,B15)=0,"Unknown unit ID","Ready"))))</x:f>
      </x:c>
    </x:row>
    <x:row r="16">
      <x:c r="A16" s="65"/>
      <x:c r="B16" s="65"/>
      <x:c r="C16" s="65"/>
      <x:c r="D16" s="65"/>
      <x:c r="E16" s="65"/>
      <x:c r="F16" s="68" t="str">
        <x:f>IF(COUNTA(A16:E16)=0,"",IF(OR(A16="",B16="",C16="",D16=""),"Missing required",IF(COUNTIF($A$5:$A$84,A16)&gt;1,"Duplicate lesson ID",IF(COUNTIF('Units'!$A$5:$A$24,B16)=0,"Unknown unit ID","Ready"))))</x:f>
      </x:c>
    </x:row>
    <x:row r="17">
      <x:c r="A17" s="65"/>
      <x:c r="B17" s="65"/>
      <x:c r="C17" s="65"/>
      <x:c r="D17" s="65"/>
      <x:c r="E17" s="65"/>
      <x:c r="F17" s="68" t="str">
        <x:f>IF(COUNTA(A17:E17)=0,"",IF(OR(A17="",B17="",C17="",D17=""),"Missing required",IF(COUNTIF($A$5:$A$84,A17)&gt;1,"Duplicate lesson ID",IF(COUNTIF('Units'!$A$5:$A$24,B17)=0,"Unknown unit ID","Ready"))))</x:f>
      </x:c>
    </x:row>
    <x:row r="18">
      <x:c r="A18" s="65"/>
      <x:c r="B18" s="65"/>
      <x:c r="C18" s="65"/>
      <x:c r="D18" s="65"/>
      <x:c r="E18" s="65"/>
      <x:c r="F18" s="68" t="str">
        <x:f>IF(COUNTA(A18:E18)=0,"",IF(OR(A18="",B18="",C18="",D18=""),"Missing required",IF(COUNTIF($A$5:$A$84,A18)&gt;1,"Duplicate lesson ID",IF(COUNTIF('Units'!$A$5:$A$24,B18)=0,"Unknown unit ID","Ready"))))</x:f>
      </x:c>
    </x:row>
    <x:row r="19">
      <x:c r="A19" s="65"/>
      <x:c r="B19" s="65"/>
      <x:c r="C19" s="65"/>
      <x:c r="D19" s="65"/>
      <x:c r="E19" s="65"/>
      <x:c r="F19" s="68" t="str">
        <x:f>IF(COUNTA(A19:E19)=0,"",IF(OR(A19="",B19="",C19="",D19=""),"Missing required",IF(COUNTIF($A$5:$A$84,A19)&gt;1,"Duplicate lesson ID",IF(COUNTIF('Units'!$A$5:$A$24,B19)=0,"Unknown unit ID","Ready"))))</x:f>
      </x:c>
    </x:row>
    <x:row r="20">
      <x:c r="A20" s="65"/>
      <x:c r="B20" s="65"/>
      <x:c r="C20" s="65"/>
      <x:c r="D20" s="65"/>
      <x:c r="E20" s="65"/>
      <x:c r="F20" s="68" t="str">
        <x:f>IF(COUNTA(A20:E20)=0,"",IF(OR(A20="",B20="",C20="",D20=""),"Missing required",IF(COUNTIF($A$5:$A$84,A20)&gt;1,"Duplicate lesson ID",IF(COUNTIF('Units'!$A$5:$A$24,B20)=0,"Unknown unit ID","Ready"))))</x:f>
      </x:c>
    </x:row>
    <x:row r="21">
      <x:c r="A21" s="65"/>
      <x:c r="B21" s="65"/>
      <x:c r="C21" s="65"/>
      <x:c r="D21" s="65"/>
      <x:c r="E21" s="65"/>
      <x:c r="F21" s="68" t="str">
        <x:f>IF(COUNTA(A21:E21)=0,"",IF(OR(A21="",B21="",C21="",D21=""),"Missing required",IF(COUNTIF($A$5:$A$84,A21)&gt;1,"Duplicate lesson ID",IF(COUNTIF('Units'!$A$5:$A$24,B21)=0,"Unknown unit ID","Ready"))))</x:f>
      </x:c>
    </x:row>
    <x:row r="22">
      <x:c r="A22" s="65"/>
      <x:c r="B22" s="65"/>
      <x:c r="C22" s="65"/>
      <x:c r="D22" s="65"/>
      <x:c r="E22" s="65"/>
      <x:c r="F22" s="68" t="str">
        <x:f>IF(COUNTA(A22:E22)=0,"",IF(OR(A22="",B22="",C22="",D22=""),"Missing required",IF(COUNTIF($A$5:$A$84,A22)&gt;1,"Duplicate lesson ID",IF(COUNTIF('Units'!$A$5:$A$24,B22)=0,"Unknown unit ID","Ready"))))</x:f>
      </x:c>
    </x:row>
    <x:row r="23">
      <x:c r="A23" s="65"/>
      <x:c r="B23" s="65"/>
      <x:c r="C23" s="65"/>
      <x:c r="D23" s="65"/>
      <x:c r="E23" s="65"/>
      <x:c r="F23" s="68" t="str">
        <x:f>IF(COUNTA(A23:E23)=0,"",IF(OR(A23="",B23="",C23="",D23=""),"Missing required",IF(COUNTIF($A$5:$A$84,A23)&gt;1,"Duplicate lesson ID",IF(COUNTIF('Units'!$A$5:$A$24,B23)=0,"Unknown unit ID","Ready"))))</x:f>
      </x:c>
    </x:row>
    <x:row r="24">
      <x:c r="A24" s="65"/>
      <x:c r="B24" s="65"/>
      <x:c r="C24" s="65"/>
      <x:c r="D24" s="65"/>
      <x:c r="E24" s="65"/>
      <x:c r="F24" s="68" t="str">
        <x:f>IF(COUNTA(A24:E24)=0,"",IF(OR(A24="",B24="",C24="",D24=""),"Missing required",IF(COUNTIF($A$5:$A$84,A24)&gt;1,"Duplicate lesson ID",IF(COUNTIF('Units'!$A$5:$A$24,B24)=0,"Unknown unit ID","Ready"))))</x:f>
      </x:c>
    </x:row>
    <x:row r="25">
      <x:c r="A25" s="65"/>
      <x:c r="B25" s="65"/>
      <x:c r="C25" s="65"/>
      <x:c r="D25" s="65"/>
      <x:c r="E25" s="65"/>
      <x:c r="F25" s="68" t="str">
        <x:f>IF(COUNTA(A25:E25)=0,"",IF(OR(A25="",B25="",C25="",D25=""),"Missing required",IF(COUNTIF($A$5:$A$84,A25)&gt;1,"Duplicate lesson ID",IF(COUNTIF('Units'!$A$5:$A$24,B25)=0,"Unknown unit ID","Ready"))))</x:f>
      </x:c>
    </x:row>
    <x:row r="26">
      <x:c r="A26" s="65"/>
      <x:c r="B26" s="65"/>
      <x:c r="C26" s="65"/>
      <x:c r="D26" s="65"/>
      <x:c r="E26" s="65"/>
      <x:c r="F26" s="68" t="str">
        <x:f>IF(COUNTA(A26:E26)=0,"",IF(OR(A26="",B26="",C26="",D26=""),"Missing required",IF(COUNTIF($A$5:$A$84,A26)&gt;1,"Duplicate lesson ID",IF(COUNTIF('Units'!$A$5:$A$24,B26)=0,"Unknown unit ID","Ready"))))</x:f>
      </x:c>
    </x:row>
    <x:row r="27">
      <x:c r="A27" s="65"/>
      <x:c r="B27" s="65"/>
      <x:c r="C27" s="65"/>
      <x:c r="D27" s="65"/>
      <x:c r="E27" s="65"/>
      <x:c r="F27" s="68" t="str">
        <x:f>IF(COUNTA(A27:E27)=0,"",IF(OR(A27="",B27="",C27="",D27=""),"Missing required",IF(COUNTIF($A$5:$A$84,A27)&gt;1,"Duplicate lesson ID",IF(COUNTIF('Units'!$A$5:$A$24,B27)=0,"Unknown unit ID","Ready"))))</x:f>
      </x:c>
    </x:row>
    <x:row r="28">
      <x:c r="A28" s="65"/>
      <x:c r="B28" s="65"/>
      <x:c r="C28" s="65"/>
      <x:c r="D28" s="65"/>
      <x:c r="E28" s="65"/>
      <x:c r="F28" s="68" t="str">
        <x:f>IF(COUNTA(A28:E28)=0,"",IF(OR(A28="",B28="",C28="",D28=""),"Missing required",IF(COUNTIF($A$5:$A$84,A28)&gt;1,"Duplicate lesson ID",IF(COUNTIF('Units'!$A$5:$A$24,B28)=0,"Unknown unit ID","Ready"))))</x:f>
      </x:c>
    </x:row>
    <x:row r="29">
      <x:c r="A29" s="65"/>
      <x:c r="B29" s="65"/>
      <x:c r="C29" s="65"/>
      <x:c r="D29" s="65"/>
      <x:c r="E29" s="65"/>
      <x:c r="F29" s="68" t="str">
        <x:f>IF(COUNTA(A29:E29)=0,"",IF(OR(A29="",B29="",C29="",D29=""),"Missing required",IF(COUNTIF($A$5:$A$84,A29)&gt;1,"Duplicate lesson ID",IF(COUNTIF('Units'!$A$5:$A$24,B29)=0,"Unknown unit ID","Ready"))))</x:f>
      </x:c>
    </x:row>
    <x:row r="30">
      <x:c r="A30" s="65"/>
      <x:c r="B30" s="65"/>
      <x:c r="C30" s="65"/>
      <x:c r="D30" s="65"/>
      <x:c r="E30" s="65"/>
      <x:c r="F30" s="68" t="str">
        <x:f>IF(COUNTA(A30:E30)=0,"",IF(OR(A30="",B30="",C30="",D30=""),"Missing required",IF(COUNTIF($A$5:$A$84,A30)&gt;1,"Duplicate lesson ID",IF(COUNTIF('Units'!$A$5:$A$24,B30)=0,"Unknown unit ID","Ready"))))</x:f>
      </x:c>
    </x:row>
    <x:row r="31">
      <x:c r="A31" s="65"/>
      <x:c r="B31" s="65"/>
      <x:c r="C31" s="65"/>
      <x:c r="D31" s="65"/>
      <x:c r="E31" s="65"/>
      <x:c r="F31" s="68" t="str">
        <x:f>IF(COUNTA(A31:E31)=0,"",IF(OR(A31="",B31="",C31="",D31=""),"Missing required",IF(COUNTIF($A$5:$A$84,A31)&gt;1,"Duplicate lesson ID",IF(COUNTIF('Units'!$A$5:$A$24,B31)=0,"Unknown unit ID","Ready"))))</x:f>
      </x:c>
    </x:row>
    <x:row r="32">
      <x:c r="A32" s="65"/>
      <x:c r="B32" s="65"/>
      <x:c r="C32" s="65"/>
      <x:c r="D32" s="65"/>
      <x:c r="E32" s="65"/>
      <x:c r="F32" s="68" t="str">
        <x:f>IF(COUNTA(A32:E32)=0,"",IF(OR(A32="",B32="",C32="",D32=""),"Missing required",IF(COUNTIF($A$5:$A$84,A32)&gt;1,"Duplicate lesson ID",IF(COUNTIF('Units'!$A$5:$A$24,B32)=0,"Unknown unit ID","Ready"))))</x:f>
      </x:c>
    </x:row>
    <x:row r="33">
      <x:c r="A33" s="65"/>
      <x:c r="B33" s="65"/>
      <x:c r="C33" s="65"/>
      <x:c r="D33" s="65"/>
      <x:c r="E33" s="65"/>
      <x:c r="F33" s="68" t="str">
        <x:f>IF(COUNTA(A33:E33)=0,"",IF(OR(A33="",B33="",C33="",D33=""),"Missing required",IF(COUNTIF($A$5:$A$84,A33)&gt;1,"Duplicate lesson ID",IF(COUNTIF('Units'!$A$5:$A$24,B33)=0,"Unknown unit ID","Ready"))))</x:f>
      </x:c>
    </x:row>
    <x:row r="34">
      <x:c r="A34" s="65"/>
      <x:c r="B34" s="65"/>
      <x:c r="C34" s="65"/>
      <x:c r="D34" s="65"/>
      <x:c r="E34" s="65"/>
      <x:c r="F34" s="68" t="str">
        <x:f>IF(COUNTA(A34:E34)=0,"",IF(OR(A34="",B34="",C34="",D34=""),"Missing required",IF(COUNTIF($A$5:$A$84,A34)&gt;1,"Duplicate lesson ID",IF(COUNTIF('Units'!$A$5:$A$24,B34)=0,"Unknown unit ID","Ready"))))</x:f>
      </x:c>
    </x:row>
    <x:row r="35">
      <x:c r="A35" s="65"/>
      <x:c r="B35" s="65"/>
      <x:c r="C35" s="65"/>
      <x:c r="D35" s="65"/>
      <x:c r="E35" s="65"/>
      <x:c r="F35" s="68" t="str">
        <x:f>IF(COUNTA(A35:E35)=0,"",IF(OR(A35="",B35="",C35="",D35=""),"Missing required",IF(COUNTIF($A$5:$A$84,A35)&gt;1,"Duplicate lesson ID",IF(COUNTIF('Units'!$A$5:$A$24,B35)=0,"Unknown unit ID","Ready"))))</x:f>
      </x:c>
    </x:row>
    <x:row r="36">
      <x:c r="A36" s="65"/>
      <x:c r="B36" s="65"/>
      <x:c r="C36" s="65"/>
      <x:c r="D36" s="65"/>
      <x:c r="E36" s="65"/>
      <x:c r="F36" s="68" t="str">
        <x:f>IF(COUNTA(A36:E36)=0,"",IF(OR(A36="",B36="",C36="",D36=""),"Missing required",IF(COUNTIF($A$5:$A$84,A36)&gt;1,"Duplicate lesson ID",IF(COUNTIF('Units'!$A$5:$A$24,B36)=0,"Unknown unit ID","Ready"))))</x:f>
      </x:c>
    </x:row>
    <x:row r="37">
      <x:c r="A37" s="65"/>
      <x:c r="B37" s="65"/>
      <x:c r="C37" s="65"/>
      <x:c r="D37" s="65"/>
      <x:c r="E37" s="65"/>
      <x:c r="F37" s="68" t="str">
        <x:f>IF(COUNTA(A37:E37)=0,"",IF(OR(A37="",B37="",C37="",D37=""),"Missing required",IF(COUNTIF($A$5:$A$84,A37)&gt;1,"Duplicate lesson ID",IF(COUNTIF('Units'!$A$5:$A$24,B37)=0,"Unknown unit ID","Ready"))))</x:f>
      </x:c>
    </x:row>
    <x:row r="38">
      <x:c r="A38" s="65"/>
      <x:c r="B38" s="65"/>
      <x:c r="C38" s="65"/>
      <x:c r="D38" s="65"/>
      <x:c r="E38" s="65"/>
      <x:c r="F38" s="68" t="str">
        <x:f>IF(COUNTA(A38:E38)=0,"",IF(OR(A38="",B38="",C38="",D38=""),"Missing required",IF(COUNTIF($A$5:$A$84,A38)&gt;1,"Duplicate lesson ID",IF(COUNTIF('Units'!$A$5:$A$24,B38)=0,"Unknown unit ID","Ready"))))</x:f>
      </x:c>
    </x:row>
    <x:row r="39">
      <x:c r="A39" s="65"/>
      <x:c r="B39" s="65"/>
      <x:c r="C39" s="65"/>
      <x:c r="D39" s="65"/>
      <x:c r="E39" s="65"/>
      <x:c r="F39" s="68" t="str">
        <x:f>IF(COUNTA(A39:E39)=0,"",IF(OR(A39="",B39="",C39="",D39=""),"Missing required",IF(COUNTIF($A$5:$A$84,A39)&gt;1,"Duplicate lesson ID",IF(COUNTIF('Units'!$A$5:$A$24,B39)=0,"Unknown unit ID","Ready"))))</x:f>
      </x:c>
    </x:row>
    <x:row r="40">
      <x:c r="A40" s="65"/>
      <x:c r="B40" s="65"/>
      <x:c r="C40" s="65"/>
      <x:c r="D40" s="65"/>
      <x:c r="E40" s="65"/>
      <x:c r="F40" s="68" t="str">
        <x:f>IF(COUNTA(A40:E40)=0,"",IF(OR(A40="",B40="",C40="",D40=""),"Missing required",IF(COUNTIF($A$5:$A$84,A40)&gt;1,"Duplicate lesson ID",IF(COUNTIF('Units'!$A$5:$A$24,B40)=0,"Unknown unit ID","Ready"))))</x:f>
      </x:c>
    </x:row>
    <x:row r="41">
      <x:c r="A41" s="65"/>
      <x:c r="B41" s="65"/>
      <x:c r="C41" s="65"/>
      <x:c r="D41" s="65"/>
      <x:c r="E41" s="65"/>
      <x:c r="F41" s="68" t="str">
        <x:f>IF(COUNTA(A41:E41)=0,"",IF(OR(A41="",B41="",C41="",D41=""),"Missing required",IF(COUNTIF($A$5:$A$84,A41)&gt;1,"Duplicate lesson ID",IF(COUNTIF('Units'!$A$5:$A$24,B41)=0,"Unknown unit ID","Ready"))))</x:f>
      </x:c>
    </x:row>
    <x:row r="42">
      <x:c r="A42" s="65"/>
      <x:c r="B42" s="65"/>
      <x:c r="C42" s="65"/>
      <x:c r="D42" s="65"/>
      <x:c r="E42" s="65"/>
      <x:c r="F42" s="68" t="str">
        <x:f>IF(COUNTA(A42:E42)=0,"",IF(OR(A42="",B42="",C42="",D42=""),"Missing required",IF(COUNTIF($A$5:$A$84,A42)&gt;1,"Duplicate lesson ID",IF(COUNTIF('Units'!$A$5:$A$24,B42)=0,"Unknown unit ID","Ready"))))</x:f>
      </x:c>
    </x:row>
    <x:row r="43">
      <x:c r="A43" s="65"/>
      <x:c r="B43" s="65"/>
      <x:c r="C43" s="65"/>
      <x:c r="D43" s="65"/>
      <x:c r="E43" s="65"/>
      <x:c r="F43" s="68" t="str">
        <x:f>IF(COUNTA(A43:E43)=0,"",IF(OR(A43="",B43="",C43="",D43=""),"Missing required",IF(COUNTIF($A$5:$A$84,A43)&gt;1,"Duplicate lesson ID",IF(COUNTIF('Units'!$A$5:$A$24,B43)=0,"Unknown unit ID","Ready"))))</x:f>
      </x:c>
    </x:row>
    <x:row r="44">
      <x:c r="A44" s="65"/>
      <x:c r="B44" s="65"/>
      <x:c r="C44" s="65"/>
      <x:c r="D44" s="65"/>
      <x:c r="E44" s="65"/>
      <x:c r="F44" s="68" t="str">
        <x:f>IF(COUNTA(A44:E44)=0,"",IF(OR(A44="",B44="",C44="",D44=""),"Missing required",IF(COUNTIF($A$5:$A$84,A44)&gt;1,"Duplicate lesson ID",IF(COUNTIF('Units'!$A$5:$A$24,B44)=0,"Unknown unit ID","Ready"))))</x:f>
      </x:c>
    </x:row>
    <x:row r="45">
      <x:c r="A45" s="65"/>
      <x:c r="B45" s="65"/>
      <x:c r="C45" s="65"/>
      <x:c r="D45" s="65"/>
      <x:c r="E45" s="65"/>
      <x:c r="F45" s="68" t="str">
        <x:f>IF(COUNTA(A45:E45)=0,"",IF(OR(A45="",B45="",C45="",D45=""),"Missing required",IF(COUNTIF($A$5:$A$84,A45)&gt;1,"Duplicate lesson ID",IF(COUNTIF('Units'!$A$5:$A$24,B45)=0,"Unknown unit ID","Ready"))))</x:f>
      </x:c>
    </x:row>
    <x:row r="46">
      <x:c r="A46" s="65"/>
      <x:c r="B46" s="65"/>
      <x:c r="C46" s="65"/>
      <x:c r="D46" s="65"/>
      <x:c r="E46" s="65"/>
      <x:c r="F46" s="68" t="str">
        <x:f>IF(COUNTA(A46:E46)=0,"",IF(OR(A46="",B46="",C46="",D46=""),"Missing required",IF(COUNTIF($A$5:$A$84,A46)&gt;1,"Duplicate lesson ID",IF(COUNTIF('Units'!$A$5:$A$24,B46)=0,"Unknown unit ID","Ready"))))</x:f>
      </x:c>
    </x:row>
    <x:row r="47">
      <x:c r="A47" s="65"/>
      <x:c r="B47" s="65"/>
      <x:c r="C47" s="65"/>
      <x:c r="D47" s="65"/>
      <x:c r="E47" s="65"/>
      <x:c r="F47" s="68" t="str">
        <x:f>IF(COUNTA(A47:E47)=0,"",IF(OR(A47="",B47="",C47="",D47=""),"Missing required",IF(COUNTIF($A$5:$A$84,A47)&gt;1,"Duplicate lesson ID",IF(COUNTIF('Units'!$A$5:$A$24,B47)=0,"Unknown unit ID","Ready"))))</x:f>
      </x:c>
    </x:row>
    <x:row r="48">
      <x:c r="A48" s="65"/>
      <x:c r="B48" s="65"/>
      <x:c r="C48" s="65"/>
      <x:c r="D48" s="65"/>
      <x:c r="E48" s="65"/>
      <x:c r="F48" s="68" t="str">
        <x:f>IF(COUNTA(A48:E48)=0,"",IF(OR(A48="",B48="",C48="",D48=""),"Missing required",IF(COUNTIF($A$5:$A$84,A48)&gt;1,"Duplicate lesson ID",IF(COUNTIF('Units'!$A$5:$A$24,B48)=0,"Unknown unit ID","Ready"))))</x:f>
      </x:c>
    </x:row>
    <x:row r="49">
      <x:c r="A49" s="65"/>
      <x:c r="B49" s="65"/>
      <x:c r="C49" s="65"/>
      <x:c r="D49" s="65"/>
      <x:c r="E49" s="65"/>
      <x:c r="F49" s="68" t="str">
        <x:f>IF(COUNTA(A49:E49)=0,"",IF(OR(A49="",B49="",C49="",D49=""),"Missing required",IF(COUNTIF($A$5:$A$84,A49)&gt;1,"Duplicate lesson ID",IF(COUNTIF('Units'!$A$5:$A$24,B49)=0,"Unknown unit ID","Ready"))))</x:f>
      </x:c>
    </x:row>
    <x:row r="50">
      <x:c r="A50" s="65"/>
      <x:c r="B50" s="65"/>
      <x:c r="C50" s="65"/>
      <x:c r="D50" s="65"/>
      <x:c r="E50" s="65"/>
      <x:c r="F50" s="68" t="str">
        <x:f>IF(COUNTA(A50:E50)=0,"",IF(OR(A50="",B50="",C50="",D50=""),"Missing required",IF(COUNTIF($A$5:$A$84,A50)&gt;1,"Duplicate lesson ID",IF(COUNTIF('Units'!$A$5:$A$24,B50)=0,"Unknown unit ID","Ready"))))</x:f>
      </x:c>
    </x:row>
    <x:row r="51">
      <x:c r="A51" s="65"/>
      <x:c r="B51" s="65"/>
      <x:c r="C51" s="65"/>
      <x:c r="D51" s="65"/>
      <x:c r="E51" s="65"/>
      <x:c r="F51" s="68" t="str">
        <x:f>IF(COUNTA(A51:E51)=0,"",IF(OR(A51="",B51="",C51="",D51=""),"Missing required",IF(COUNTIF($A$5:$A$84,A51)&gt;1,"Duplicate lesson ID",IF(COUNTIF('Units'!$A$5:$A$24,B51)=0,"Unknown unit ID","Ready"))))</x:f>
      </x:c>
    </x:row>
    <x:row r="52">
      <x:c r="A52" s="65"/>
      <x:c r="B52" s="65"/>
      <x:c r="C52" s="65"/>
      <x:c r="D52" s="65"/>
      <x:c r="E52" s="65"/>
      <x:c r="F52" s="68" t="str">
        <x:f>IF(COUNTA(A52:E52)=0,"",IF(OR(A52="",B52="",C52="",D52=""),"Missing required",IF(COUNTIF($A$5:$A$84,A52)&gt;1,"Duplicate lesson ID",IF(COUNTIF('Units'!$A$5:$A$24,B52)=0,"Unknown unit ID","Ready"))))</x:f>
      </x:c>
    </x:row>
    <x:row r="53">
      <x:c r="A53" s="65"/>
      <x:c r="B53" s="65"/>
      <x:c r="C53" s="65"/>
      <x:c r="D53" s="65"/>
      <x:c r="E53" s="65"/>
      <x:c r="F53" s="68" t="str">
        <x:f>IF(COUNTA(A53:E53)=0,"",IF(OR(A53="",B53="",C53="",D53=""),"Missing required",IF(COUNTIF($A$5:$A$84,A53)&gt;1,"Duplicate lesson ID",IF(COUNTIF('Units'!$A$5:$A$24,B53)=0,"Unknown unit ID","Ready"))))</x:f>
      </x:c>
    </x:row>
    <x:row r="54">
      <x:c r="A54" s="65"/>
      <x:c r="B54" s="65"/>
      <x:c r="C54" s="65"/>
      <x:c r="D54" s="65"/>
      <x:c r="E54" s="65"/>
      <x:c r="F54" s="68" t="str">
        <x:f>IF(COUNTA(A54:E54)=0,"",IF(OR(A54="",B54="",C54="",D54=""),"Missing required",IF(COUNTIF($A$5:$A$84,A54)&gt;1,"Duplicate lesson ID",IF(COUNTIF('Units'!$A$5:$A$24,B54)=0,"Unknown unit ID","Ready"))))</x:f>
      </x:c>
    </x:row>
    <x:row r="55">
      <x:c r="A55" s="65"/>
      <x:c r="B55" s="65"/>
      <x:c r="C55" s="65"/>
      <x:c r="D55" s="65"/>
      <x:c r="E55" s="65"/>
      <x:c r="F55" s="68" t="str">
        <x:f>IF(COUNTA(A55:E55)=0,"",IF(OR(A55="",B55="",C55="",D55=""),"Missing required",IF(COUNTIF($A$5:$A$84,A55)&gt;1,"Duplicate lesson ID",IF(COUNTIF('Units'!$A$5:$A$24,B55)=0,"Unknown unit ID","Ready"))))</x:f>
      </x:c>
    </x:row>
    <x:row r="56">
      <x:c r="A56" s="65"/>
      <x:c r="B56" s="65"/>
      <x:c r="C56" s="65"/>
      <x:c r="D56" s="65"/>
      <x:c r="E56" s="65"/>
      <x:c r="F56" s="68" t="str">
        <x:f>IF(COUNTA(A56:E56)=0,"",IF(OR(A56="",B56="",C56="",D56=""),"Missing required",IF(COUNTIF($A$5:$A$84,A56)&gt;1,"Duplicate lesson ID",IF(COUNTIF('Units'!$A$5:$A$24,B56)=0,"Unknown unit ID","Ready"))))</x:f>
      </x:c>
    </x:row>
    <x:row r="57">
      <x:c r="A57" s="65"/>
      <x:c r="B57" s="65"/>
      <x:c r="C57" s="65"/>
      <x:c r="D57" s="65"/>
      <x:c r="E57" s="65"/>
      <x:c r="F57" s="68" t="str">
        <x:f>IF(COUNTA(A57:E57)=0,"",IF(OR(A57="",B57="",C57="",D57=""),"Missing required",IF(COUNTIF($A$5:$A$84,A57)&gt;1,"Duplicate lesson ID",IF(COUNTIF('Units'!$A$5:$A$24,B57)=0,"Unknown unit ID","Ready"))))</x:f>
      </x:c>
    </x:row>
    <x:row r="58">
      <x:c r="A58" s="65"/>
      <x:c r="B58" s="65"/>
      <x:c r="C58" s="65"/>
      <x:c r="D58" s="65"/>
      <x:c r="E58" s="65"/>
      <x:c r="F58" s="68" t="str">
        <x:f>IF(COUNTA(A58:E58)=0,"",IF(OR(A58="",B58="",C58="",D58=""),"Missing required",IF(COUNTIF($A$5:$A$84,A58)&gt;1,"Duplicate lesson ID",IF(COUNTIF('Units'!$A$5:$A$24,B58)=0,"Unknown unit ID","Ready"))))</x:f>
      </x:c>
    </x:row>
    <x:row r="59">
      <x:c r="A59" s="65"/>
      <x:c r="B59" s="65"/>
      <x:c r="C59" s="65"/>
      <x:c r="D59" s="65"/>
      <x:c r="E59" s="65"/>
      <x:c r="F59" s="68" t="str">
        <x:f>IF(COUNTA(A59:E59)=0,"",IF(OR(A59="",B59="",C59="",D59=""),"Missing required",IF(COUNTIF($A$5:$A$84,A59)&gt;1,"Duplicate lesson ID",IF(COUNTIF('Units'!$A$5:$A$24,B59)=0,"Unknown unit ID","Ready"))))</x:f>
      </x:c>
    </x:row>
    <x:row r="60">
      <x:c r="A60" s="65"/>
      <x:c r="B60" s="65"/>
      <x:c r="C60" s="65"/>
      <x:c r="D60" s="65"/>
      <x:c r="E60" s="65"/>
      <x:c r="F60" s="68" t="str">
        <x:f>IF(COUNTA(A60:E60)=0,"",IF(OR(A60="",B60="",C60="",D60=""),"Missing required",IF(COUNTIF($A$5:$A$84,A60)&gt;1,"Duplicate lesson ID",IF(COUNTIF('Units'!$A$5:$A$24,B60)=0,"Unknown unit ID","Ready"))))</x:f>
      </x:c>
    </x:row>
    <x:row r="61">
      <x:c r="A61" s="65"/>
      <x:c r="B61" s="65"/>
      <x:c r="C61" s="65"/>
      <x:c r="D61" s="65"/>
      <x:c r="E61" s="65"/>
      <x:c r="F61" s="68" t="str">
        <x:f>IF(COUNTA(A61:E61)=0,"",IF(OR(A61="",B61="",C61="",D61=""),"Missing required",IF(COUNTIF($A$5:$A$84,A61)&gt;1,"Duplicate lesson ID",IF(COUNTIF('Units'!$A$5:$A$24,B61)=0,"Unknown unit ID","Ready"))))</x:f>
      </x:c>
    </x:row>
    <x:row r="62">
      <x:c r="A62" s="65"/>
      <x:c r="B62" s="65"/>
      <x:c r="C62" s="65"/>
      <x:c r="D62" s="65"/>
      <x:c r="E62" s="65"/>
      <x:c r="F62" s="68" t="str">
        <x:f>IF(COUNTA(A62:E62)=0,"",IF(OR(A62="",B62="",C62="",D62=""),"Missing required",IF(COUNTIF($A$5:$A$84,A62)&gt;1,"Duplicate lesson ID",IF(COUNTIF('Units'!$A$5:$A$24,B62)=0,"Unknown unit ID","Ready"))))</x:f>
      </x:c>
    </x:row>
    <x:row r="63">
      <x:c r="A63" s="65"/>
      <x:c r="B63" s="65"/>
      <x:c r="C63" s="65"/>
      <x:c r="D63" s="65"/>
      <x:c r="E63" s="65"/>
      <x:c r="F63" s="68" t="str">
        <x:f>IF(COUNTA(A63:E63)=0,"",IF(OR(A63="",B63="",C63="",D63=""),"Missing required",IF(COUNTIF($A$5:$A$84,A63)&gt;1,"Duplicate lesson ID",IF(COUNTIF('Units'!$A$5:$A$24,B63)=0,"Unknown unit ID","Ready"))))</x:f>
      </x:c>
    </x:row>
    <x:row r="64">
      <x:c r="A64" s="65"/>
      <x:c r="B64" s="65"/>
      <x:c r="C64" s="65"/>
      <x:c r="D64" s="65"/>
      <x:c r="E64" s="65"/>
      <x:c r="F64" s="68" t="str">
        <x:f>IF(COUNTA(A64:E64)=0,"",IF(OR(A64="",B64="",C64="",D64=""),"Missing required",IF(COUNTIF($A$5:$A$84,A64)&gt;1,"Duplicate lesson ID",IF(COUNTIF('Units'!$A$5:$A$24,B64)=0,"Unknown unit ID","Ready"))))</x:f>
      </x:c>
    </x:row>
    <x:row r="65">
      <x:c r="A65" s="65"/>
      <x:c r="B65" s="65"/>
      <x:c r="C65" s="65"/>
      <x:c r="D65" s="65"/>
      <x:c r="E65" s="65"/>
      <x:c r="F65" s="68" t="str">
        <x:f>IF(COUNTA(A65:E65)=0,"",IF(OR(A65="",B65="",C65="",D65=""),"Missing required",IF(COUNTIF($A$5:$A$84,A65)&gt;1,"Duplicate lesson ID",IF(COUNTIF('Units'!$A$5:$A$24,B65)=0,"Unknown unit ID","Ready"))))</x:f>
      </x:c>
    </x:row>
    <x:row r="66">
      <x:c r="A66" s="65"/>
      <x:c r="B66" s="65"/>
      <x:c r="C66" s="65"/>
      <x:c r="D66" s="65"/>
      <x:c r="E66" s="65"/>
      <x:c r="F66" s="68" t="str">
        <x:f>IF(COUNTA(A66:E66)=0,"",IF(OR(A66="",B66="",C66="",D66=""),"Missing required",IF(COUNTIF($A$5:$A$84,A66)&gt;1,"Duplicate lesson ID",IF(COUNTIF('Units'!$A$5:$A$24,B66)=0,"Unknown unit ID","Ready"))))</x:f>
      </x:c>
    </x:row>
    <x:row r="67">
      <x:c r="A67" s="65"/>
      <x:c r="B67" s="65"/>
      <x:c r="C67" s="65"/>
      <x:c r="D67" s="65"/>
      <x:c r="E67" s="65"/>
      <x:c r="F67" s="68" t="str">
        <x:f>IF(COUNTA(A67:E67)=0,"",IF(OR(A67="",B67="",C67="",D67=""),"Missing required",IF(COUNTIF($A$5:$A$84,A67)&gt;1,"Duplicate lesson ID",IF(COUNTIF('Units'!$A$5:$A$24,B67)=0,"Unknown unit ID","Ready"))))</x:f>
      </x:c>
    </x:row>
    <x:row r="68">
      <x:c r="A68" s="65"/>
      <x:c r="B68" s="65"/>
      <x:c r="C68" s="65"/>
      <x:c r="D68" s="65"/>
      <x:c r="E68" s="65"/>
      <x:c r="F68" s="68" t="str">
        <x:f>IF(COUNTA(A68:E68)=0,"",IF(OR(A68="",B68="",C68="",D68=""),"Missing required",IF(COUNTIF($A$5:$A$84,A68)&gt;1,"Duplicate lesson ID",IF(COUNTIF('Units'!$A$5:$A$24,B68)=0,"Unknown unit ID","Ready"))))</x:f>
      </x:c>
    </x:row>
    <x:row r="69">
      <x:c r="A69" s="65"/>
      <x:c r="B69" s="65"/>
      <x:c r="C69" s="65"/>
      <x:c r="D69" s="65"/>
      <x:c r="E69" s="65"/>
      <x:c r="F69" s="68" t="str">
        <x:f>IF(COUNTA(A69:E69)=0,"",IF(OR(A69="",B69="",C69="",D69=""),"Missing required",IF(COUNTIF($A$5:$A$84,A69)&gt;1,"Duplicate lesson ID",IF(COUNTIF('Units'!$A$5:$A$24,B69)=0,"Unknown unit ID","Ready"))))</x:f>
      </x:c>
    </x:row>
    <x:row r="70">
      <x:c r="A70" s="65"/>
      <x:c r="B70" s="65"/>
      <x:c r="C70" s="65"/>
      <x:c r="D70" s="65"/>
      <x:c r="E70" s="65"/>
      <x:c r="F70" s="68" t="str">
        <x:f>IF(COUNTA(A70:E70)=0,"",IF(OR(A70="",B70="",C70="",D70=""),"Missing required",IF(COUNTIF($A$5:$A$84,A70)&gt;1,"Duplicate lesson ID",IF(COUNTIF('Units'!$A$5:$A$24,B70)=0,"Unknown unit ID","Ready"))))</x:f>
      </x:c>
    </x:row>
    <x:row r="71">
      <x:c r="A71" s="65"/>
      <x:c r="B71" s="65"/>
      <x:c r="C71" s="65"/>
      <x:c r="D71" s="65"/>
      <x:c r="E71" s="65"/>
      <x:c r="F71" s="68" t="str">
        <x:f>IF(COUNTA(A71:E71)=0,"",IF(OR(A71="",B71="",C71="",D71=""),"Missing required",IF(COUNTIF($A$5:$A$84,A71)&gt;1,"Duplicate lesson ID",IF(COUNTIF('Units'!$A$5:$A$24,B71)=0,"Unknown unit ID","Ready"))))</x:f>
      </x:c>
    </x:row>
    <x:row r="72">
      <x:c r="A72" s="65"/>
      <x:c r="B72" s="65"/>
      <x:c r="C72" s="65"/>
      <x:c r="D72" s="65"/>
      <x:c r="E72" s="65"/>
      <x:c r="F72" s="68" t="str">
        <x:f>IF(COUNTA(A72:E72)=0,"",IF(OR(A72="",B72="",C72="",D72=""),"Missing required",IF(COUNTIF($A$5:$A$84,A72)&gt;1,"Duplicate lesson ID",IF(COUNTIF('Units'!$A$5:$A$24,B72)=0,"Unknown unit ID","Ready"))))</x:f>
      </x:c>
    </x:row>
    <x:row r="73">
      <x:c r="A73" s="65"/>
      <x:c r="B73" s="65"/>
      <x:c r="C73" s="65"/>
      <x:c r="D73" s="65"/>
      <x:c r="E73" s="65"/>
      <x:c r="F73" s="68" t="str">
        <x:f>IF(COUNTA(A73:E73)=0,"",IF(OR(A73="",B73="",C73="",D73=""),"Missing required",IF(COUNTIF($A$5:$A$84,A73)&gt;1,"Duplicate lesson ID",IF(COUNTIF('Units'!$A$5:$A$24,B73)=0,"Unknown unit ID","Ready"))))</x:f>
      </x:c>
    </x:row>
    <x:row r="74">
      <x:c r="A74" s="65"/>
      <x:c r="B74" s="65"/>
      <x:c r="C74" s="65"/>
      <x:c r="D74" s="65"/>
      <x:c r="E74" s="65"/>
      <x:c r="F74" s="68" t="str">
        <x:f>IF(COUNTA(A74:E74)=0,"",IF(OR(A74="",B74="",C74="",D74=""),"Missing required",IF(COUNTIF($A$5:$A$84,A74)&gt;1,"Duplicate lesson ID",IF(COUNTIF('Units'!$A$5:$A$24,B74)=0,"Unknown unit ID","Ready"))))</x:f>
      </x:c>
    </x:row>
    <x:row r="75">
      <x:c r="A75" s="65"/>
      <x:c r="B75" s="65"/>
      <x:c r="C75" s="65"/>
      <x:c r="D75" s="65"/>
      <x:c r="E75" s="65"/>
      <x:c r="F75" s="68" t="str">
        <x:f>IF(COUNTA(A75:E75)=0,"",IF(OR(A75="",B75="",C75="",D75=""),"Missing required",IF(COUNTIF($A$5:$A$84,A75)&gt;1,"Duplicate lesson ID",IF(COUNTIF('Units'!$A$5:$A$24,B75)=0,"Unknown unit ID","Ready"))))</x:f>
      </x:c>
    </x:row>
    <x:row r="76">
      <x:c r="A76" s="65"/>
      <x:c r="B76" s="65"/>
      <x:c r="C76" s="65"/>
      <x:c r="D76" s="65"/>
      <x:c r="E76" s="65"/>
      <x:c r="F76" s="68" t="str">
        <x:f>IF(COUNTA(A76:E76)=0,"",IF(OR(A76="",B76="",C76="",D76=""),"Missing required",IF(COUNTIF($A$5:$A$84,A76)&gt;1,"Duplicate lesson ID",IF(COUNTIF('Units'!$A$5:$A$24,B76)=0,"Unknown unit ID","Ready"))))</x:f>
      </x:c>
    </x:row>
    <x:row r="77">
      <x:c r="A77" s="65"/>
      <x:c r="B77" s="65"/>
      <x:c r="C77" s="65"/>
      <x:c r="D77" s="65"/>
      <x:c r="E77" s="65"/>
      <x:c r="F77" s="68" t="str">
        <x:f>IF(COUNTA(A77:E77)=0,"",IF(OR(A77="",B77="",C77="",D77=""),"Missing required",IF(COUNTIF($A$5:$A$84,A77)&gt;1,"Duplicate lesson ID",IF(COUNTIF('Units'!$A$5:$A$24,B77)=0,"Unknown unit ID","Ready"))))</x:f>
      </x:c>
    </x:row>
    <x:row r="78">
      <x:c r="A78" s="65"/>
      <x:c r="B78" s="65"/>
      <x:c r="C78" s="65"/>
      <x:c r="D78" s="65"/>
      <x:c r="E78" s="65"/>
      <x:c r="F78" s="68" t="str">
        <x:f>IF(COUNTA(A78:E78)=0,"",IF(OR(A78="",B78="",C78="",D78=""),"Missing required",IF(COUNTIF($A$5:$A$84,A78)&gt;1,"Duplicate lesson ID",IF(COUNTIF('Units'!$A$5:$A$24,B78)=0,"Unknown unit ID","Ready"))))</x:f>
      </x:c>
    </x:row>
    <x:row r="79">
      <x:c r="A79" s="65"/>
      <x:c r="B79" s="65"/>
      <x:c r="C79" s="65"/>
      <x:c r="D79" s="65"/>
      <x:c r="E79" s="65"/>
      <x:c r="F79" s="68" t="str">
        <x:f>IF(COUNTA(A79:E79)=0,"",IF(OR(A79="",B79="",C79="",D79=""),"Missing required",IF(COUNTIF($A$5:$A$84,A79)&gt;1,"Duplicate lesson ID",IF(COUNTIF('Units'!$A$5:$A$24,B79)=0,"Unknown unit ID","Ready"))))</x:f>
      </x:c>
    </x:row>
    <x:row r="80">
      <x:c r="A80" s="65"/>
      <x:c r="B80" s="65"/>
      <x:c r="C80" s="65"/>
      <x:c r="D80" s="65"/>
      <x:c r="E80" s="65"/>
      <x:c r="F80" s="68" t="str">
        <x:f>IF(COUNTA(A80:E80)=0,"",IF(OR(A80="",B80="",C80="",D80=""),"Missing required",IF(COUNTIF($A$5:$A$84,A80)&gt;1,"Duplicate lesson ID",IF(COUNTIF('Units'!$A$5:$A$24,B80)=0,"Unknown unit ID","Ready"))))</x:f>
      </x:c>
    </x:row>
    <x:row r="81">
      <x:c r="A81" s="65"/>
      <x:c r="B81" s="65"/>
      <x:c r="C81" s="65"/>
      <x:c r="D81" s="65"/>
      <x:c r="E81" s="65"/>
      <x:c r="F81" s="68" t="str">
        <x:f>IF(COUNTA(A81:E81)=0,"",IF(OR(A81="",B81="",C81="",D81=""),"Missing required",IF(COUNTIF($A$5:$A$84,A81)&gt;1,"Duplicate lesson ID",IF(COUNTIF('Units'!$A$5:$A$24,B81)=0,"Unknown unit ID","Ready"))))</x:f>
      </x:c>
    </x:row>
    <x:row r="82">
      <x:c r="A82" s="65"/>
      <x:c r="B82" s="65"/>
      <x:c r="C82" s="65"/>
      <x:c r="D82" s="65"/>
      <x:c r="E82" s="65"/>
      <x:c r="F82" s="68" t="str">
        <x:f>IF(COUNTA(A82:E82)=0,"",IF(OR(A82="",B82="",C82="",D82=""),"Missing required",IF(COUNTIF($A$5:$A$84,A82)&gt;1,"Duplicate lesson ID",IF(COUNTIF('Units'!$A$5:$A$24,B82)=0,"Unknown unit ID","Ready"))))</x:f>
      </x:c>
    </x:row>
    <x:row r="83">
      <x:c r="A83" s="65"/>
      <x:c r="B83" s="65"/>
      <x:c r="C83" s="65"/>
      <x:c r="D83" s="65"/>
      <x:c r="E83" s="65"/>
      <x:c r="F83" s="68" t="str">
        <x:f>IF(COUNTA(A83:E83)=0,"",IF(OR(A83="",B83="",C83="",D83=""),"Missing required",IF(COUNTIF($A$5:$A$84,A83)&gt;1,"Duplicate lesson ID",IF(COUNTIF('Units'!$A$5:$A$24,B83)=0,"Unknown unit ID","Ready"))))</x:f>
      </x:c>
    </x:row>
    <x:row r="84">
      <x:c r="A84" s="65"/>
      <x:c r="B84" s="65"/>
      <x:c r="C84" s="65"/>
      <x:c r="D84" s="65"/>
      <x:c r="E84" s="65"/>
      <x:c r="F84" s="68" t="str">
        <x:f>IF(COUNTA(A84:E84)=0,"",IF(OR(A84="",B84="",C84="",D84=""),"Missing required",IF(COUNTIF($A$5:$A$84,A84)&gt;1,"Duplicate lesson ID",IF(COUNTIF('Units'!$A$5:$A$24,B84)=0,"Unknown unit ID","Ready"))))</x:f>
      </x:c>
    </x:row>
  </x:sheetData>
  <x:mergeCells>
    <x:mergeCell ref="A1:F1"/>
    <x:mergeCell ref="A2:F2"/>
  </x:mergeCells>
  <x:conditionalFormatting sqref="F5:F84">
    <x:cfRule type="expression" dxfId="5" priority="1">
      <x:formula>$F5="Ready"</x:formula>
    </x:cfRule>
    <x:cfRule type="expression" dxfId="6" priority="2">
      <x:formula>AND($F5&lt;&gt;"",$F5&lt;&gt;"Ready")</x:formula>
    </x:cfRule>
  </x:conditionalFormatting>
  <x:dataValidations count="1">
    <x:dataValidation type="whole" operator="between" sqref="C5:C84">
      <x:formula1>1</x:formula1>
      <x:formula2>30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d44fca6fd684c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27" hidden="0" customWidth="1"/>
    <x:col min="5" max="5" width="55" hidden="0" customWidth="1"/>
    <x:col min="6" max="6" width="48" hidden="0" customWidth="1"/>
    <x:col min="7" max="7" width="14" hidden="0" customWidth="1"/>
    <x:col min="8" max="8" width="14" hidden="0" customWidth="1"/>
    <x:col min="9" max="9" width="28" hidden="0" customWidth="1"/>
  </x:cols>
  <x:sheetData>
    <x:row r="1" ht="34" customHeight="1">
      <x:c r="A1" s="46" t="str">
        <x:v>Challenges</x:v>
      </x:c>
      <x:c r="B1" s="46" t="str">
        <x:v>Challenges</x:v>
      </x:c>
      <x:c r="C1" s="46" t="str">
        <x:v>Challenges</x:v>
      </x:c>
      <x:c r="D1" s="46" t="str">
        <x:v>Challenges</x:v>
      </x:c>
      <x:c r="E1" s="46" t="str">
        <x:v>Challenges</x:v>
      </x:c>
      <x:c r="F1" s="46" t="str">
        <x:v>Challenges</x:v>
      </x:c>
      <x:c r="G1" s="46" t="str">
        <x:v>Challenges</x:v>
      </x:c>
      <x:c r="H1" s="46" t="str">
        <x:v>Challenges</x:v>
      </x:c>
      <x:c r="I1" s="46" t="str">
        <x:v>Challenges</x:v>
      </x:c>
    </x:row>
    <x:row r="2" ht="34" customHeight="1">
      <x:c r="A2" s="49" t="str">
        <x:v>One row per activity. Option Count and Correct Count are calculated from the Options sheet.</x:v>
      </x:c>
      <x:c r="B2" s="49" t="str">
        <x:v>One row per activity. Option Count and Correct Count are calculated from the Options sheet.</x:v>
      </x:c>
      <x:c r="C2" s="49" t="str">
        <x:v>One row per activity. Option Count and Correct Count are calculated from the Options sheet.</x:v>
      </x:c>
      <x:c r="D2" s="49" t="str">
        <x:v>One row per activity. Option Count and Correct Count are calculated from the Options sheet.</x:v>
      </x:c>
      <x:c r="E2" s="49" t="str">
        <x:v>One row per activity. Option Count and Correct Count are calculated from the Options sheet.</x:v>
      </x:c>
      <x:c r="F2" s="49" t="str">
        <x:v>One row per activity. Option Count and Correct Count are calculated from the Options sheet.</x:v>
      </x:c>
      <x:c r="G2" s="49" t="str">
        <x:v>One row per activity. Option Count and Correct Count are calculated from the Options sheet.</x:v>
      </x:c>
      <x:c r="H2" s="49" t="str">
        <x:v>One row per activity. Option Count and Correct Count are calculated from the Options sheet.</x:v>
      </x:c>
      <x:c r="I2" s="49" t="str">
        <x:v>One row per activity. Option Count and Correct Count are calculated from the Options sheet.</x:v>
      </x:c>
    </x:row>
    <x:row r="4" ht="30" customHeight="1">
      <x:c r="A4" s="14" t="str">
        <x:v>Challenge ID *</x:v>
      </x:c>
      <x:c r="B4" s="28" t="str">
        <x:v>Lesson ID *</x:v>
      </x:c>
      <x:c r="C4" s="28" t="str">
        <x:v>Order *</x:v>
      </x:c>
      <x:c r="D4" s="28" t="str">
        <x:v>Challenge Type *</x:v>
      </x:c>
      <x:c r="E4" s="28" t="str">
        <x:v>Question / Prompt *</x:v>
      </x:c>
      <x:c r="F4" s="28" t="str">
        <x:v>Teaching Explanation</x:v>
      </x:c>
      <x:c r="G4" s="28" t="str">
        <x:v>Option Count</x:v>
      </x:c>
      <x:c r="H4" s="28" t="str">
        <x:v>Correct Count</x:v>
      </x:c>
      <x:c r="I4" s="15" t="str">
        <x:v>Status</x:v>
      </x:c>
    </x:row>
    <x:row r="5">
      <x:c r="A5" s="54"/>
      <x:c r="B5" s="54"/>
      <x:c r="C5" s="54"/>
      <x:c r="D5" s="54"/>
      <x:c r="E5" s="54"/>
      <x:c r="F5" s="54"/>
      <x:c r="G5" s="59" t="str">
        <x:f>IF(A5="","",COUNTIF('Options'!$A$5:$A$404,A5))</x:f>
      </x:c>
      <x:c r="H5" s="59" t="str">
        <x:f>IF(A5="","",COUNTIFS('Options'!$A$5:$A$404,A5,'Options'!$D$5:$D$404,"TRUE"))</x:f>
      </x:c>
      <x:c r="I5" s="59" t="str">
        <x:f>IF(COUNTA(A5:F5)=0,"",IF(OR(A5="",B5="",C5="",D5="",E5=""),"Missing required",IF(COUNTIF($A$5:$A$154,A5)&gt;1,"Duplicate challenge ID",IF(COUNTIF('Lessons'!$A$5:$A$84,B5)=0,"Unknown lesson ID",IF(COUNTIF('Challenge Guide'!$A$5:$A$13,D5)=0,"Unknown type",IF(D5="DICTATION",IF(AND(G5=1,H5=1),"Ready","Needs 1 correct option"),IF(D5="REORDER",IF(AND(G5&gt;=2,H5=G5),"Ready","All tiles must be correct"),IF(D5="MATCHING",IF(AND(G5&gt;=2,G5&lt;=12,MOD(G5,2)=0,H5=G5),"Ready","Needs 1-6 correct pairs"),IF(AND(G5&gt;=2,G5&lt;=6,H5=1),"Ready","Needs 2-6 options; 1 correct")))))))))</x:f>
      </x:c>
    </x:row>
    <x:row r="6">
      <x:c r="A6" s="65"/>
      <x:c r="B6" s="65"/>
      <x:c r="C6" s="65"/>
      <x:c r="D6" s="65"/>
      <x:c r="E6" s="65"/>
      <x:c r="F6" s="65"/>
      <x:c r="G6" s="68" t="str">
        <x:f>IF(A6="","",COUNTIF('Options'!$A$5:$A$404,A6))</x:f>
      </x:c>
      <x:c r="H6" s="68" t="str">
        <x:f>IF(A6="","",COUNTIFS('Options'!$A$5:$A$404,A6,'Options'!$D$5:$D$404,"TRUE"))</x:f>
      </x:c>
      <x:c r="I6" s="68" t="str">
        <x:f>IF(COUNTA(A6:F6)=0,"",IF(OR(A6="",B6="",C6="",D6="",E6=""),"Missing required",IF(COUNTIF($A$5:$A$154,A6)&gt;1,"Duplicate challenge ID",IF(COUNTIF('Lessons'!$A$5:$A$84,B6)=0,"Unknown lesson ID",IF(COUNTIF('Challenge Guide'!$A$5:$A$13,D6)=0,"Unknown type",IF(D6="DICTATION",IF(AND(G6=1,H6=1),"Ready","Needs 1 correct option"),IF(D6="REORDER",IF(AND(G6&gt;=2,H6=G6),"Ready","All tiles must be correct"),IF(D6="MATCHING",IF(AND(G6&gt;=2,G6&lt;=12,MOD(G6,2)=0,H6=G6),"Ready","Needs 1-6 correct pairs"),IF(AND(G6&gt;=2,G6&lt;=6,H6=1),"Ready","Needs 2-6 options; 1 correct")))))))))</x:f>
      </x:c>
    </x:row>
    <x:row r="7">
      <x:c r="A7" s="65"/>
      <x:c r="B7" s="65"/>
      <x:c r="C7" s="65"/>
      <x:c r="D7" s="65"/>
      <x:c r="E7" s="65"/>
      <x:c r="F7" s="65"/>
      <x:c r="G7" s="68" t="str">
        <x:f>IF(A7="","",COUNTIF('Options'!$A$5:$A$404,A7))</x:f>
      </x:c>
      <x:c r="H7" s="68" t="str">
        <x:f>IF(A7="","",COUNTIFS('Options'!$A$5:$A$404,A7,'Options'!$D$5:$D$404,"TRUE"))</x:f>
      </x:c>
      <x:c r="I7" s="68" t="str">
        <x:f>IF(COUNTA(A7:F7)=0,"",IF(OR(A7="",B7="",C7="",D7="",E7=""),"Missing required",IF(COUNTIF($A$5:$A$154,A7)&gt;1,"Duplicate challenge ID",IF(COUNTIF('Lessons'!$A$5:$A$84,B7)=0,"Unknown lesson ID",IF(COUNTIF('Challenge Guide'!$A$5:$A$13,D7)=0,"Unknown type",IF(D7="DICTATION",IF(AND(G7=1,H7=1),"Ready","Needs 1 correct option"),IF(D7="REORDER",IF(AND(G7&gt;=2,H7=G7),"Ready","All tiles must be correct"),IF(D7="MATCHING",IF(AND(G7&gt;=2,G7&lt;=12,MOD(G7,2)=0,H7=G7),"Ready","Needs 1-6 correct pairs"),IF(AND(G7&gt;=2,G7&lt;=6,H7=1),"Ready","Needs 2-6 options; 1 correct")))))))))</x:f>
      </x:c>
    </x:row>
    <x:row r="8">
      <x:c r="A8" s="65"/>
      <x:c r="B8" s="65"/>
      <x:c r="C8" s="65"/>
      <x:c r="D8" s="65"/>
      <x:c r="E8" s="65"/>
      <x:c r="F8" s="65"/>
      <x:c r="G8" s="68" t="str">
        <x:f>IF(A8="","",COUNTIF('Options'!$A$5:$A$404,A8))</x:f>
      </x:c>
      <x:c r="H8" s="68" t="str">
        <x:f>IF(A8="","",COUNTIFS('Options'!$A$5:$A$404,A8,'Options'!$D$5:$D$404,"TRUE"))</x:f>
      </x:c>
      <x:c r="I8" s="68" t="str">
        <x:f>IF(COUNTA(A8:F8)=0,"",IF(OR(A8="",B8="",C8="",D8="",E8=""),"Missing required",IF(COUNTIF($A$5:$A$154,A8)&gt;1,"Duplicate challenge ID",IF(COUNTIF('Lessons'!$A$5:$A$84,B8)=0,"Unknown lesson ID",IF(COUNTIF('Challenge Guide'!$A$5:$A$13,D8)=0,"Unknown type",IF(D8="DICTATION",IF(AND(G8=1,H8=1),"Ready","Needs 1 correct option"),IF(D8="REORDER",IF(AND(G8&gt;=2,H8=G8),"Ready","All tiles must be correct"),IF(D8="MATCHING",IF(AND(G8&gt;=2,G8&lt;=12,MOD(G8,2)=0,H8=G8),"Ready","Needs 1-6 correct pairs"),IF(AND(G8&gt;=2,G8&lt;=6,H8=1),"Ready","Needs 2-6 options; 1 correct")))))))))</x:f>
      </x:c>
    </x:row>
    <x:row r="9">
      <x:c r="A9" s="65"/>
      <x:c r="B9" s="65"/>
      <x:c r="C9" s="65"/>
      <x:c r="D9" s="65"/>
      <x:c r="E9" s="65"/>
      <x:c r="F9" s="65"/>
      <x:c r="G9" s="68" t="str">
        <x:f>IF(A9="","",COUNTIF('Options'!$A$5:$A$404,A9))</x:f>
      </x:c>
      <x:c r="H9" s="68" t="str">
        <x:f>IF(A9="","",COUNTIFS('Options'!$A$5:$A$404,A9,'Options'!$D$5:$D$404,"TRUE"))</x:f>
      </x:c>
      <x:c r="I9" s="68" t="str">
        <x:f>IF(COUNTA(A9:F9)=0,"",IF(OR(A9="",B9="",C9="",D9="",E9=""),"Missing required",IF(COUNTIF($A$5:$A$154,A9)&gt;1,"Duplicate challenge ID",IF(COUNTIF('Lessons'!$A$5:$A$84,B9)=0,"Unknown lesson ID",IF(COUNTIF('Challenge Guide'!$A$5:$A$13,D9)=0,"Unknown type",IF(D9="DICTATION",IF(AND(G9=1,H9=1),"Ready","Needs 1 correct option"),IF(D9="REORDER",IF(AND(G9&gt;=2,H9=G9),"Ready","All tiles must be correct"),IF(D9="MATCHING",IF(AND(G9&gt;=2,G9&lt;=12,MOD(G9,2)=0,H9=G9),"Ready","Needs 1-6 correct pairs"),IF(AND(G9&gt;=2,G9&lt;=6,H9=1),"Ready","Needs 2-6 options; 1 correct")))))))))</x:f>
      </x:c>
    </x:row>
    <x:row r="10">
      <x:c r="A10" s="65"/>
      <x:c r="B10" s="65"/>
      <x:c r="C10" s="65"/>
      <x:c r="D10" s="65"/>
      <x:c r="E10" s="65"/>
      <x:c r="F10" s="65"/>
      <x:c r="G10" s="68" t="str">
        <x:f>IF(A10="","",COUNTIF('Options'!$A$5:$A$404,A10))</x:f>
      </x:c>
      <x:c r="H10" s="68" t="str">
        <x:f>IF(A10="","",COUNTIFS('Options'!$A$5:$A$404,A10,'Options'!$D$5:$D$404,"TRUE"))</x:f>
      </x:c>
      <x:c r="I10" s="68" t="str">
        <x:f>IF(COUNTA(A10:F10)=0,"",IF(OR(A10="",B10="",C10="",D10="",E10=""),"Missing required",IF(COUNTIF($A$5:$A$154,A10)&gt;1,"Duplicate challenge ID",IF(COUNTIF('Lessons'!$A$5:$A$84,B10)=0,"Unknown lesson ID",IF(COUNTIF('Challenge Guide'!$A$5:$A$13,D10)=0,"Unknown type",IF(D10="DICTATION",IF(AND(G10=1,H10=1),"Ready","Needs 1 correct option"),IF(D10="REORDER",IF(AND(G10&gt;=2,H10=G10),"Ready","All tiles must be correct"),IF(D10="MATCHING",IF(AND(G10&gt;=2,G10&lt;=12,MOD(G10,2)=0,H10=G10),"Ready","Needs 1-6 correct pairs"),IF(AND(G10&gt;=2,G10&lt;=6,H10=1),"Ready","Needs 2-6 options; 1 correct")))))))))</x:f>
      </x:c>
    </x:row>
    <x:row r="11">
      <x:c r="A11" s="65"/>
      <x:c r="B11" s="65"/>
      <x:c r="C11" s="65"/>
      <x:c r="D11" s="65"/>
      <x:c r="E11" s="65"/>
      <x:c r="F11" s="65"/>
      <x:c r="G11" s="68" t="str">
        <x:f>IF(A11="","",COUNTIF('Options'!$A$5:$A$404,A11))</x:f>
      </x:c>
      <x:c r="H11" s="68" t="str">
        <x:f>IF(A11="","",COUNTIFS('Options'!$A$5:$A$404,A11,'Options'!$D$5:$D$404,"TRUE"))</x:f>
      </x:c>
      <x:c r="I11" s="68" t="str">
        <x:f>IF(COUNTA(A11:F11)=0,"",IF(OR(A11="",B11="",C11="",D11="",E11=""),"Missing required",IF(COUNTIF($A$5:$A$154,A11)&gt;1,"Duplicate challenge ID",IF(COUNTIF('Lessons'!$A$5:$A$84,B11)=0,"Unknown lesson ID",IF(COUNTIF('Challenge Guide'!$A$5:$A$13,D11)=0,"Unknown type",IF(D11="DICTATION",IF(AND(G11=1,H11=1),"Ready","Needs 1 correct option"),IF(D11="REORDER",IF(AND(G11&gt;=2,H11=G11),"Ready","All tiles must be correct"),IF(D11="MATCHING",IF(AND(G11&gt;=2,G11&lt;=12,MOD(G11,2)=0,H11=G11),"Ready","Needs 1-6 correct pairs"),IF(AND(G11&gt;=2,G11&lt;=6,H11=1),"Ready","Needs 2-6 options; 1 correct")))))))))</x:f>
      </x:c>
    </x:row>
    <x:row r="12">
      <x:c r="A12" s="65"/>
      <x:c r="B12" s="65"/>
      <x:c r="C12" s="65"/>
      <x:c r="D12" s="65"/>
      <x:c r="E12" s="65"/>
      <x:c r="F12" s="65"/>
      <x:c r="G12" s="68" t="str">
        <x:f>IF(A12="","",COUNTIF('Options'!$A$5:$A$404,A12))</x:f>
      </x:c>
      <x:c r="H12" s="68" t="str">
        <x:f>IF(A12="","",COUNTIFS('Options'!$A$5:$A$404,A12,'Options'!$D$5:$D$404,"TRUE"))</x:f>
      </x:c>
      <x:c r="I12" s="68" t="str">
        <x:f>IF(COUNTA(A12:F12)=0,"",IF(OR(A12="",B12="",C12="",D12="",E12=""),"Missing required",IF(COUNTIF($A$5:$A$154,A12)&gt;1,"Duplicate challenge ID",IF(COUNTIF('Lessons'!$A$5:$A$84,B12)=0,"Unknown lesson ID",IF(COUNTIF('Challenge Guide'!$A$5:$A$13,D12)=0,"Unknown type",IF(D12="DICTATION",IF(AND(G12=1,H12=1),"Ready","Needs 1 correct option"),IF(D12="REORDER",IF(AND(G12&gt;=2,H12=G12),"Ready","All tiles must be correct"),IF(D12="MATCHING",IF(AND(G12&gt;=2,G12&lt;=12,MOD(G12,2)=0,H12=G12),"Ready","Needs 1-6 correct pairs"),IF(AND(G12&gt;=2,G12&lt;=6,H12=1),"Ready","Needs 2-6 options; 1 correct")))))))))</x:f>
      </x:c>
    </x:row>
    <x:row r="13">
      <x:c r="A13" s="65"/>
      <x:c r="B13" s="65"/>
      <x:c r="C13" s="65"/>
      <x:c r="D13" s="65"/>
      <x:c r="E13" s="65"/>
      <x:c r="F13" s="65"/>
      <x:c r="G13" s="68" t="str">
        <x:f>IF(A13="","",COUNTIF('Options'!$A$5:$A$404,A13))</x:f>
      </x:c>
      <x:c r="H13" s="68" t="str">
        <x:f>IF(A13="","",COUNTIFS('Options'!$A$5:$A$404,A13,'Options'!$D$5:$D$404,"TRUE"))</x:f>
      </x:c>
      <x:c r="I13" s="68" t="str">
        <x:f>IF(COUNTA(A13:F13)=0,"",IF(OR(A13="",B13="",C13="",D13="",E13=""),"Missing required",IF(COUNTIF($A$5:$A$154,A13)&gt;1,"Duplicate challenge ID",IF(COUNTIF('Lessons'!$A$5:$A$84,B13)=0,"Unknown lesson ID",IF(COUNTIF('Challenge Guide'!$A$5:$A$13,D13)=0,"Unknown type",IF(D13="DICTATION",IF(AND(G13=1,H13=1),"Ready","Needs 1 correct option"),IF(D13="REORDER",IF(AND(G13&gt;=2,H13=G13),"Ready","All tiles must be correct"),IF(D13="MATCHING",IF(AND(G13&gt;=2,G13&lt;=12,MOD(G13,2)=0,H13=G13),"Ready","Needs 1-6 correct pairs"),IF(AND(G13&gt;=2,G13&lt;=6,H13=1),"Ready","Needs 2-6 options; 1 correct")))))))))</x:f>
      </x:c>
    </x:row>
    <x:row r="14">
      <x:c r="A14" s="65"/>
      <x:c r="B14" s="65"/>
      <x:c r="C14" s="65"/>
      <x:c r="D14" s="65"/>
      <x:c r="E14" s="65"/>
      <x:c r="F14" s="65"/>
      <x:c r="G14" s="68" t="str">
        <x:f>IF(A14="","",COUNTIF('Options'!$A$5:$A$404,A14))</x:f>
      </x:c>
      <x:c r="H14" s="68" t="str">
        <x:f>IF(A14="","",COUNTIFS('Options'!$A$5:$A$404,A14,'Options'!$D$5:$D$404,"TRUE"))</x:f>
      </x:c>
      <x:c r="I14" s="68" t="str">
        <x:f>IF(COUNTA(A14:F14)=0,"",IF(OR(A14="",B14="",C14="",D14="",E14=""),"Missing required",IF(COUNTIF($A$5:$A$154,A14)&gt;1,"Duplicate challenge ID",IF(COUNTIF('Lessons'!$A$5:$A$84,B14)=0,"Unknown lesson ID",IF(COUNTIF('Challenge Guide'!$A$5:$A$13,D14)=0,"Unknown type",IF(D14="DICTATION",IF(AND(G14=1,H14=1),"Ready","Needs 1 correct option"),IF(D14="REORDER",IF(AND(G14&gt;=2,H14=G14),"Ready","All tiles must be correct"),IF(D14="MATCHING",IF(AND(G14&gt;=2,G14&lt;=12,MOD(G14,2)=0,H14=G14),"Ready","Needs 1-6 correct pairs"),IF(AND(G14&gt;=2,G14&lt;=6,H14=1),"Ready","Needs 2-6 options; 1 correct")))))))))</x:f>
      </x:c>
    </x:row>
    <x:row r="15">
      <x:c r="A15" s="65"/>
      <x:c r="B15" s="65"/>
      <x:c r="C15" s="65"/>
      <x:c r="D15" s="65"/>
      <x:c r="E15" s="65"/>
      <x:c r="F15" s="65"/>
      <x:c r="G15" s="68" t="str">
        <x:f>IF(A15="","",COUNTIF('Options'!$A$5:$A$404,A15))</x:f>
      </x:c>
      <x:c r="H15" s="68" t="str">
        <x:f>IF(A15="","",COUNTIFS('Options'!$A$5:$A$404,A15,'Options'!$D$5:$D$404,"TRUE"))</x:f>
      </x:c>
      <x:c r="I15" s="68" t="str">
        <x:f>IF(COUNTA(A15:F15)=0,"",IF(OR(A15="",B15="",C15="",D15="",E15=""),"Missing required",IF(COUNTIF($A$5:$A$154,A15)&gt;1,"Duplicate challenge ID",IF(COUNTIF('Lessons'!$A$5:$A$84,B15)=0,"Unknown lesson ID",IF(COUNTIF('Challenge Guide'!$A$5:$A$13,D15)=0,"Unknown type",IF(D15="DICTATION",IF(AND(G15=1,H15=1),"Ready","Needs 1 correct option"),IF(D15="REORDER",IF(AND(G15&gt;=2,H15=G15),"Ready","All tiles must be correct"),IF(D15="MATCHING",IF(AND(G15&gt;=2,G15&lt;=12,MOD(G15,2)=0,H15=G15),"Ready","Needs 1-6 correct pairs"),IF(AND(G15&gt;=2,G15&lt;=6,H15=1),"Ready","Needs 2-6 options; 1 correct")))))))))</x:f>
      </x:c>
    </x:row>
    <x:row r="16">
      <x:c r="A16" s="65"/>
      <x:c r="B16" s="65"/>
      <x:c r="C16" s="65"/>
      <x:c r="D16" s="65"/>
      <x:c r="E16" s="65"/>
      <x:c r="F16" s="65"/>
      <x:c r="G16" s="68" t="str">
        <x:f>IF(A16="","",COUNTIF('Options'!$A$5:$A$404,A16))</x:f>
      </x:c>
      <x:c r="H16" s="68" t="str">
        <x:f>IF(A16="","",COUNTIFS('Options'!$A$5:$A$404,A16,'Options'!$D$5:$D$404,"TRUE"))</x:f>
      </x:c>
      <x:c r="I16" s="68" t="str">
        <x:f>IF(COUNTA(A16:F16)=0,"",IF(OR(A16="",B16="",C16="",D16="",E16=""),"Missing required",IF(COUNTIF($A$5:$A$154,A16)&gt;1,"Duplicate challenge ID",IF(COUNTIF('Lessons'!$A$5:$A$84,B16)=0,"Unknown lesson ID",IF(COUNTIF('Challenge Guide'!$A$5:$A$13,D16)=0,"Unknown type",IF(D16="DICTATION",IF(AND(G16=1,H16=1),"Ready","Needs 1 correct option"),IF(D16="REORDER",IF(AND(G16&gt;=2,H16=G16),"Ready","All tiles must be correct"),IF(D16="MATCHING",IF(AND(G16&gt;=2,G16&lt;=12,MOD(G16,2)=0,H16=G16),"Ready","Needs 1-6 correct pairs"),IF(AND(G16&gt;=2,G16&lt;=6,H16=1),"Ready","Needs 2-6 options; 1 correct")))))))))</x:f>
      </x:c>
    </x:row>
    <x:row r="17">
      <x:c r="A17" s="65"/>
      <x:c r="B17" s="65"/>
      <x:c r="C17" s="65"/>
      <x:c r="D17" s="65"/>
      <x:c r="E17" s="65"/>
      <x:c r="F17" s="65"/>
      <x:c r="G17" s="68" t="str">
        <x:f>IF(A17="","",COUNTIF('Options'!$A$5:$A$404,A17))</x:f>
      </x:c>
      <x:c r="H17" s="68" t="str">
        <x:f>IF(A17="","",COUNTIFS('Options'!$A$5:$A$404,A17,'Options'!$D$5:$D$404,"TRUE"))</x:f>
      </x:c>
      <x:c r="I17" s="68" t="str">
        <x:f>IF(COUNTA(A17:F17)=0,"",IF(OR(A17="",B17="",C17="",D17="",E17=""),"Missing required",IF(COUNTIF($A$5:$A$154,A17)&gt;1,"Duplicate challenge ID",IF(COUNTIF('Lessons'!$A$5:$A$84,B17)=0,"Unknown lesson ID",IF(COUNTIF('Challenge Guide'!$A$5:$A$13,D17)=0,"Unknown type",IF(D17="DICTATION",IF(AND(G17=1,H17=1),"Ready","Needs 1 correct option"),IF(D17="REORDER",IF(AND(G17&gt;=2,H17=G17),"Ready","All tiles must be correct"),IF(D17="MATCHING",IF(AND(G17&gt;=2,G17&lt;=12,MOD(G17,2)=0,H17=G17),"Ready","Needs 1-6 correct pairs"),IF(AND(G17&gt;=2,G17&lt;=6,H17=1),"Ready","Needs 2-6 options; 1 correct")))))))))</x:f>
      </x:c>
    </x:row>
    <x:row r="18">
      <x:c r="A18" s="65"/>
      <x:c r="B18" s="65"/>
      <x:c r="C18" s="65"/>
      <x:c r="D18" s="65"/>
      <x:c r="E18" s="65"/>
      <x:c r="F18" s="65"/>
      <x:c r="G18" s="68" t="str">
        <x:f>IF(A18="","",COUNTIF('Options'!$A$5:$A$404,A18))</x:f>
      </x:c>
      <x:c r="H18" s="68" t="str">
        <x:f>IF(A18="","",COUNTIFS('Options'!$A$5:$A$404,A18,'Options'!$D$5:$D$404,"TRUE"))</x:f>
      </x:c>
      <x:c r="I18" s="68" t="str">
        <x:f>IF(COUNTA(A18:F18)=0,"",IF(OR(A18="",B18="",C18="",D18="",E18=""),"Missing required",IF(COUNTIF($A$5:$A$154,A18)&gt;1,"Duplicate challenge ID",IF(COUNTIF('Lessons'!$A$5:$A$84,B18)=0,"Unknown lesson ID",IF(COUNTIF('Challenge Guide'!$A$5:$A$13,D18)=0,"Unknown type",IF(D18="DICTATION",IF(AND(G18=1,H18=1),"Ready","Needs 1 correct option"),IF(D18="REORDER",IF(AND(G18&gt;=2,H18=G18),"Ready","All tiles must be correct"),IF(D18="MATCHING",IF(AND(G18&gt;=2,G18&lt;=12,MOD(G18,2)=0,H18=G18),"Ready","Needs 1-6 correct pairs"),IF(AND(G18&gt;=2,G18&lt;=6,H18=1),"Ready","Needs 2-6 options; 1 correct")))))))))</x:f>
      </x:c>
    </x:row>
    <x:row r="19">
      <x:c r="A19" s="65"/>
      <x:c r="B19" s="65"/>
      <x:c r="C19" s="65"/>
      <x:c r="D19" s="65"/>
      <x:c r="E19" s="65"/>
      <x:c r="F19" s="65"/>
      <x:c r="G19" s="68" t="str">
        <x:f>IF(A19="","",COUNTIF('Options'!$A$5:$A$404,A19))</x:f>
      </x:c>
      <x:c r="H19" s="68" t="str">
        <x:f>IF(A19="","",COUNTIFS('Options'!$A$5:$A$404,A19,'Options'!$D$5:$D$404,"TRUE"))</x:f>
      </x:c>
      <x:c r="I19" s="68" t="str">
        <x:f>IF(COUNTA(A19:F19)=0,"",IF(OR(A19="",B19="",C19="",D19="",E19=""),"Missing required",IF(COUNTIF($A$5:$A$154,A19)&gt;1,"Duplicate challenge ID",IF(COUNTIF('Lessons'!$A$5:$A$84,B19)=0,"Unknown lesson ID",IF(COUNTIF('Challenge Guide'!$A$5:$A$13,D19)=0,"Unknown type",IF(D19="DICTATION",IF(AND(G19=1,H19=1),"Ready","Needs 1 correct option"),IF(D19="REORDER",IF(AND(G19&gt;=2,H19=G19),"Ready","All tiles must be correct"),IF(D19="MATCHING",IF(AND(G19&gt;=2,G19&lt;=12,MOD(G19,2)=0,H19=G19),"Ready","Needs 1-6 correct pairs"),IF(AND(G19&gt;=2,G19&lt;=6,H19=1),"Ready","Needs 2-6 options; 1 correct")))))))))</x:f>
      </x:c>
    </x:row>
    <x:row r="20">
      <x:c r="A20" s="65"/>
      <x:c r="B20" s="65"/>
      <x:c r="C20" s="65"/>
      <x:c r="D20" s="65"/>
      <x:c r="E20" s="65"/>
      <x:c r="F20" s="65"/>
      <x:c r="G20" s="68" t="str">
        <x:f>IF(A20="","",COUNTIF('Options'!$A$5:$A$404,A20))</x:f>
      </x:c>
      <x:c r="H20" s="68" t="str">
        <x:f>IF(A20="","",COUNTIFS('Options'!$A$5:$A$404,A20,'Options'!$D$5:$D$404,"TRUE"))</x:f>
      </x:c>
      <x:c r="I20" s="68" t="str">
        <x:f>IF(COUNTA(A20:F20)=0,"",IF(OR(A20="",B20="",C20="",D20="",E20=""),"Missing required",IF(COUNTIF($A$5:$A$154,A20)&gt;1,"Duplicate challenge ID",IF(COUNTIF('Lessons'!$A$5:$A$84,B20)=0,"Unknown lesson ID",IF(COUNTIF('Challenge Guide'!$A$5:$A$13,D20)=0,"Unknown type",IF(D20="DICTATION",IF(AND(G20=1,H20=1),"Ready","Needs 1 correct option"),IF(D20="REORDER",IF(AND(G20&gt;=2,H20=G20),"Ready","All tiles must be correct"),IF(D20="MATCHING",IF(AND(G20&gt;=2,G20&lt;=12,MOD(G20,2)=0,H20=G20),"Ready","Needs 1-6 correct pairs"),IF(AND(G20&gt;=2,G20&lt;=6,H20=1),"Ready","Needs 2-6 options; 1 correct")))))))))</x:f>
      </x:c>
    </x:row>
    <x:row r="21">
      <x:c r="A21" s="65"/>
      <x:c r="B21" s="65"/>
      <x:c r="C21" s="65"/>
      <x:c r="D21" s="65"/>
      <x:c r="E21" s="65"/>
      <x:c r="F21" s="65"/>
      <x:c r="G21" s="68" t="str">
        <x:f>IF(A21="","",COUNTIF('Options'!$A$5:$A$404,A21))</x:f>
      </x:c>
      <x:c r="H21" s="68" t="str">
        <x:f>IF(A21="","",COUNTIFS('Options'!$A$5:$A$404,A21,'Options'!$D$5:$D$404,"TRUE"))</x:f>
      </x:c>
      <x:c r="I21" s="68" t="str">
        <x:f>IF(COUNTA(A21:F21)=0,"",IF(OR(A21="",B21="",C21="",D21="",E21=""),"Missing required",IF(COUNTIF($A$5:$A$154,A21)&gt;1,"Duplicate challenge ID",IF(COUNTIF('Lessons'!$A$5:$A$84,B21)=0,"Unknown lesson ID",IF(COUNTIF('Challenge Guide'!$A$5:$A$13,D21)=0,"Unknown type",IF(D21="DICTATION",IF(AND(G21=1,H21=1),"Ready","Needs 1 correct option"),IF(D21="REORDER",IF(AND(G21&gt;=2,H21=G21),"Ready","All tiles must be correct"),IF(D21="MATCHING",IF(AND(G21&gt;=2,G21&lt;=12,MOD(G21,2)=0,H21=G21),"Ready","Needs 1-6 correct pairs"),IF(AND(G21&gt;=2,G21&lt;=6,H21=1),"Ready","Needs 2-6 options; 1 correct")))))))))</x:f>
      </x:c>
    </x:row>
    <x:row r="22">
      <x:c r="A22" s="65"/>
      <x:c r="B22" s="65"/>
      <x:c r="C22" s="65"/>
      <x:c r="D22" s="65"/>
      <x:c r="E22" s="65"/>
      <x:c r="F22" s="65"/>
      <x:c r="G22" s="68" t="str">
        <x:f>IF(A22="","",COUNTIF('Options'!$A$5:$A$404,A22))</x:f>
      </x:c>
      <x:c r="H22" s="68" t="str">
        <x:f>IF(A22="","",COUNTIFS('Options'!$A$5:$A$404,A22,'Options'!$D$5:$D$404,"TRUE"))</x:f>
      </x:c>
      <x:c r="I22" s="68" t="str">
        <x:f>IF(COUNTA(A22:F22)=0,"",IF(OR(A22="",B22="",C22="",D22="",E22=""),"Missing required",IF(COUNTIF($A$5:$A$154,A22)&gt;1,"Duplicate challenge ID",IF(COUNTIF('Lessons'!$A$5:$A$84,B22)=0,"Unknown lesson ID",IF(COUNTIF('Challenge Guide'!$A$5:$A$13,D22)=0,"Unknown type",IF(D22="DICTATION",IF(AND(G22=1,H22=1),"Ready","Needs 1 correct option"),IF(D22="REORDER",IF(AND(G22&gt;=2,H22=G22),"Ready","All tiles must be correct"),IF(D22="MATCHING",IF(AND(G22&gt;=2,G22&lt;=12,MOD(G22,2)=0,H22=G22),"Ready","Needs 1-6 correct pairs"),IF(AND(G22&gt;=2,G22&lt;=6,H22=1),"Ready","Needs 2-6 options; 1 correct")))))))))</x:f>
      </x:c>
    </x:row>
    <x:row r="23">
      <x:c r="A23" s="65"/>
      <x:c r="B23" s="65"/>
      <x:c r="C23" s="65"/>
      <x:c r="D23" s="65"/>
      <x:c r="E23" s="65"/>
      <x:c r="F23" s="65"/>
      <x:c r="G23" s="68" t="str">
        <x:f>IF(A23="","",COUNTIF('Options'!$A$5:$A$404,A23))</x:f>
      </x:c>
      <x:c r="H23" s="68" t="str">
        <x:f>IF(A23="","",COUNTIFS('Options'!$A$5:$A$404,A23,'Options'!$D$5:$D$404,"TRUE"))</x:f>
      </x:c>
      <x:c r="I23" s="68" t="str">
        <x:f>IF(COUNTA(A23:F23)=0,"",IF(OR(A23="",B23="",C23="",D23="",E23=""),"Missing required",IF(COUNTIF($A$5:$A$154,A23)&gt;1,"Duplicate challenge ID",IF(COUNTIF('Lessons'!$A$5:$A$84,B23)=0,"Unknown lesson ID",IF(COUNTIF('Challenge Guide'!$A$5:$A$13,D23)=0,"Unknown type",IF(D23="DICTATION",IF(AND(G23=1,H23=1),"Ready","Needs 1 correct option"),IF(D23="REORDER",IF(AND(G23&gt;=2,H23=G23),"Ready","All tiles must be correct"),IF(D23="MATCHING",IF(AND(G23&gt;=2,G23&lt;=12,MOD(G23,2)=0,H23=G23),"Ready","Needs 1-6 correct pairs"),IF(AND(G23&gt;=2,G23&lt;=6,H23=1),"Ready","Needs 2-6 options; 1 correct")))))))))</x:f>
      </x:c>
    </x:row>
    <x:row r="24">
      <x:c r="A24" s="65"/>
      <x:c r="B24" s="65"/>
      <x:c r="C24" s="65"/>
      <x:c r="D24" s="65"/>
      <x:c r="E24" s="65"/>
      <x:c r="F24" s="65"/>
      <x:c r="G24" s="68" t="str">
        <x:f>IF(A24="","",COUNTIF('Options'!$A$5:$A$404,A24))</x:f>
      </x:c>
      <x:c r="H24" s="68" t="str">
        <x:f>IF(A24="","",COUNTIFS('Options'!$A$5:$A$404,A24,'Options'!$D$5:$D$404,"TRUE"))</x:f>
      </x:c>
      <x:c r="I24" s="68" t="str">
        <x:f>IF(COUNTA(A24:F24)=0,"",IF(OR(A24="",B24="",C24="",D24="",E24=""),"Missing required",IF(COUNTIF($A$5:$A$154,A24)&gt;1,"Duplicate challenge ID",IF(COUNTIF('Lessons'!$A$5:$A$84,B24)=0,"Unknown lesson ID",IF(COUNTIF('Challenge Guide'!$A$5:$A$13,D24)=0,"Unknown type",IF(D24="DICTATION",IF(AND(G24=1,H24=1),"Ready","Needs 1 correct option"),IF(D24="REORDER",IF(AND(G24&gt;=2,H24=G24),"Ready","All tiles must be correct"),IF(D24="MATCHING",IF(AND(G24&gt;=2,G24&lt;=12,MOD(G24,2)=0,H24=G24),"Ready","Needs 1-6 correct pairs"),IF(AND(G24&gt;=2,G24&lt;=6,H24=1),"Ready","Needs 2-6 options; 1 correct")))))))))</x:f>
      </x:c>
    </x:row>
    <x:row r="25">
      <x:c r="A25" s="65"/>
      <x:c r="B25" s="65"/>
      <x:c r="C25" s="65"/>
      <x:c r="D25" s="65"/>
      <x:c r="E25" s="65"/>
      <x:c r="F25" s="65"/>
      <x:c r="G25" s="68" t="str">
        <x:f>IF(A25="","",COUNTIF('Options'!$A$5:$A$404,A25))</x:f>
      </x:c>
      <x:c r="H25" s="68" t="str">
        <x:f>IF(A25="","",COUNTIFS('Options'!$A$5:$A$404,A25,'Options'!$D$5:$D$404,"TRUE"))</x:f>
      </x:c>
      <x:c r="I25" s="68" t="str">
        <x:f>IF(COUNTA(A25:F25)=0,"",IF(OR(A25="",B25="",C25="",D25="",E25=""),"Missing required",IF(COUNTIF($A$5:$A$154,A25)&gt;1,"Duplicate challenge ID",IF(COUNTIF('Lessons'!$A$5:$A$84,B25)=0,"Unknown lesson ID",IF(COUNTIF('Challenge Guide'!$A$5:$A$13,D25)=0,"Unknown type",IF(D25="DICTATION",IF(AND(G25=1,H25=1),"Ready","Needs 1 correct option"),IF(D25="REORDER",IF(AND(G25&gt;=2,H25=G25),"Ready","All tiles must be correct"),IF(D25="MATCHING",IF(AND(G25&gt;=2,G25&lt;=12,MOD(G25,2)=0,H25=G25),"Ready","Needs 1-6 correct pairs"),IF(AND(G25&gt;=2,G25&lt;=6,H25=1),"Ready","Needs 2-6 options; 1 correct")))))))))</x:f>
      </x:c>
    </x:row>
    <x:row r="26">
      <x:c r="A26" s="65"/>
      <x:c r="B26" s="65"/>
      <x:c r="C26" s="65"/>
      <x:c r="D26" s="65"/>
      <x:c r="E26" s="65"/>
      <x:c r="F26" s="65"/>
      <x:c r="G26" s="68" t="str">
        <x:f>IF(A26="","",COUNTIF('Options'!$A$5:$A$404,A26))</x:f>
      </x:c>
      <x:c r="H26" s="68" t="str">
        <x:f>IF(A26="","",COUNTIFS('Options'!$A$5:$A$404,A26,'Options'!$D$5:$D$404,"TRUE"))</x:f>
      </x:c>
      <x:c r="I26" s="68" t="str">
        <x:f>IF(COUNTA(A26:F26)=0,"",IF(OR(A26="",B26="",C26="",D26="",E26=""),"Missing required",IF(COUNTIF($A$5:$A$154,A26)&gt;1,"Duplicate challenge ID",IF(COUNTIF('Lessons'!$A$5:$A$84,B26)=0,"Unknown lesson ID",IF(COUNTIF('Challenge Guide'!$A$5:$A$13,D26)=0,"Unknown type",IF(D26="DICTATION",IF(AND(G26=1,H26=1),"Ready","Needs 1 correct option"),IF(D26="REORDER",IF(AND(G26&gt;=2,H26=G26),"Ready","All tiles must be correct"),IF(D26="MATCHING",IF(AND(G26&gt;=2,G26&lt;=12,MOD(G26,2)=0,H26=G26),"Ready","Needs 1-6 correct pairs"),IF(AND(G26&gt;=2,G26&lt;=6,H26=1),"Ready","Needs 2-6 options; 1 correct")))))))))</x:f>
      </x:c>
    </x:row>
    <x:row r="27">
      <x:c r="A27" s="65"/>
      <x:c r="B27" s="65"/>
      <x:c r="C27" s="65"/>
      <x:c r="D27" s="65"/>
      <x:c r="E27" s="65"/>
      <x:c r="F27" s="65"/>
      <x:c r="G27" s="68" t="str">
        <x:f>IF(A27="","",COUNTIF('Options'!$A$5:$A$404,A27))</x:f>
      </x:c>
      <x:c r="H27" s="68" t="str">
        <x:f>IF(A27="","",COUNTIFS('Options'!$A$5:$A$404,A27,'Options'!$D$5:$D$404,"TRUE"))</x:f>
      </x:c>
      <x:c r="I27" s="68" t="str">
        <x:f>IF(COUNTA(A27:F27)=0,"",IF(OR(A27="",B27="",C27="",D27="",E27=""),"Missing required",IF(COUNTIF($A$5:$A$154,A27)&gt;1,"Duplicate challenge ID",IF(COUNTIF('Lessons'!$A$5:$A$84,B27)=0,"Unknown lesson ID",IF(COUNTIF('Challenge Guide'!$A$5:$A$13,D27)=0,"Unknown type",IF(D27="DICTATION",IF(AND(G27=1,H27=1),"Ready","Needs 1 correct option"),IF(D27="REORDER",IF(AND(G27&gt;=2,H27=G27),"Ready","All tiles must be correct"),IF(D27="MATCHING",IF(AND(G27&gt;=2,G27&lt;=12,MOD(G27,2)=0,H27=G27),"Ready","Needs 1-6 correct pairs"),IF(AND(G27&gt;=2,G27&lt;=6,H27=1),"Ready","Needs 2-6 options; 1 correct")))))))))</x:f>
      </x:c>
    </x:row>
    <x:row r="28">
      <x:c r="A28" s="65"/>
      <x:c r="B28" s="65"/>
      <x:c r="C28" s="65"/>
      <x:c r="D28" s="65"/>
      <x:c r="E28" s="65"/>
      <x:c r="F28" s="65"/>
      <x:c r="G28" s="68" t="str">
        <x:f>IF(A28="","",COUNTIF('Options'!$A$5:$A$404,A28))</x:f>
      </x:c>
      <x:c r="H28" s="68" t="str">
        <x:f>IF(A28="","",COUNTIFS('Options'!$A$5:$A$404,A28,'Options'!$D$5:$D$404,"TRUE"))</x:f>
      </x:c>
      <x:c r="I28" s="68" t="str">
        <x:f>IF(COUNTA(A28:F28)=0,"",IF(OR(A28="",B28="",C28="",D28="",E28=""),"Missing required",IF(COUNTIF($A$5:$A$154,A28)&gt;1,"Duplicate challenge ID",IF(COUNTIF('Lessons'!$A$5:$A$84,B28)=0,"Unknown lesson ID",IF(COUNTIF('Challenge Guide'!$A$5:$A$13,D28)=0,"Unknown type",IF(D28="DICTATION",IF(AND(G28=1,H28=1),"Ready","Needs 1 correct option"),IF(D28="REORDER",IF(AND(G28&gt;=2,H28=G28),"Ready","All tiles must be correct"),IF(D28="MATCHING",IF(AND(G28&gt;=2,G28&lt;=12,MOD(G28,2)=0,H28=G28),"Ready","Needs 1-6 correct pairs"),IF(AND(G28&gt;=2,G28&lt;=6,H28=1),"Ready","Needs 2-6 options; 1 correct")))))))))</x:f>
      </x:c>
    </x:row>
    <x:row r="29">
      <x:c r="A29" s="65"/>
      <x:c r="B29" s="65"/>
      <x:c r="C29" s="65"/>
      <x:c r="D29" s="65"/>
      <x:c r="E29" s="65"/>
      <x:c r="F29" s="65"/>
      <x:c r="G29" s="68" t="str">
        <x:f>IF(A29="","",COUNTIF('Options'!$A$5:$A$404,A29))</x:f>
      </x:c>
      <x:c r="H29" s="68" t="str">
        <x:f>IF(A29="","",COUNTIFS('Options'!$A$5:$A$404,A29,'Options'!$D$5:$D$404,"TRUE"))</x:f>
      </x:c>
      <x:c r="I29" s="68" t="str">
        <x:f>IF(COUNTA(A29:F29)=0,"",IF(OR(A29="",B29="",C29="",D29="",E29=""),"Missing required",IF(COUNTIF($A$5:$A$154,A29)&gt;1,"Duplicate challenge ID",IF(COUNTIF('Lessons'!$A$5:$A$84,B29)=0,"Unknown lesson ID",IF(COUNTIF('Challenge Guide'!$A$5:$A$13,D29)=0,"Unknown type",IF(D29="DICTATION",IF(AND(G29=1,H29=1),"Ready","Needs 1 correct option"),IF(D29="REORDER",IF(AND(G29&gt;=2,H29=G29),"Ready","All tiles must be correct"),IF(D29="MATCHING",IF(AND(G29&gt;=2,G29&lt;=12,MOD(G29,2)=0,H29=G29),"Ready","Needs 1-6 correct pairs"),IF(AND(G29&gt;=2,G29&lt;=6,H29=1),"Ready","Needs 2-6 options; 1 correct")))))))))</x:f>
      </x:c>
    </x:row>
    <x:row r="30">
      <x:c r="A30" s="65"/>
      <x:c r="B30" s="65"/>
      <x:c r="C30" s="65"/>
      <x:c r="D30" s="65"/>
      <x:c r="E30" s="65"/>
      <x:c r="F30" s="65"/>
      <x:c r="G30" s="68" t="str">
        <x:f>IF(A30="","",COUNTIF('Options'!$A$5:$A$404,A30))</x:f>
      </x:c>
      <x:c r="H30" s="68" t="str">
        <x:f>IF(A30="","",COUNTIFS('Options'!$A$5:$A$404,A30,'Options'!$D$5:$D$404,"TRUE"))</x:f>
      </x:c>
      <x:c r="I30" s="68" t="str">
        <x:f>IF(COUNTA(A30:F30)=0,"",IF(OR(A30="",B30="",C30="",D30="",E30=""),"Missing required",IF(COUNTIF($A$5:$A$154,A30)&gt;1,"Duplicate challenge ID",IF(COUNTIF('Lessons'!$A$5:$A$84,B30)=0,"Unknown lesson ID",IF(COUNTIF('Challenge Guide'!$A$5:$A$13,D30)=0,"Unknown type",IF(D30="DICTATION",IF(AND(G30=1,H30=1),"Ready","Needs 1 correct option"),IF(D30="REORDER",IF(AND(G30&gt;=2,H30=G30),"Ready","All tiles must be correct"),IF(D30="MATCHING",IF(AND(G30&gt;=2,G30&lt;=12,MOD(G30,2)=0,H30=G30),"Ready","Needs 1-6 correct pairs"),IF(AND(G30&gt;=2,G30&lt;=6,H30=1),"Ready","Needs 2-6 options; 1 correct")))))))))</x:f>
      </x:c>
    </x:row>
    <x:row r="31">
      <x:c r="A31" s="65"/>
      <x:c r="B31" s="65"/>
      <x:c r="C31" s="65"/>
      <x:c r="D31" s="65"/>
      <x:c r="E31" s="65"/>
      <x:c r="F31" s="65"/>
      <x:c r="G31" s="68" t="str">
        <x:f>IF(A31="","",COUNTIF('Options'!$A$5:$A$404,A31))</x:f>
      </x:c>
      <x:c r="H31" s="68" t="str">
        <x:f>IF(A31="","",COUNTIFS('Options'!$A$5:$A$404,A31,'Options'!$D$5:$D$404,"TRUE"))</x:f>
      </x:c>
      <x:c r="I31" s="68" t="str">
        <x:f>IF(COUNTA(A31:F31)=0,"",IF(OR(A31="",B31="",C31="",D31="",E31=""),"Missing required",IF(COUNTIF($A$5:$A$154,A31)&gt;1,"Duplicate challenge ID",IF(COUNTIF('Lessons'!$A$5:$A$84,B31)=0,"Unknown lesson ID",IF(COUNTIF('Challenge Guide'!$A$5:$A$13,D31)=0,"Unknown type",IF(D31="DICTATION",IF(AND(G31=1,H31=1),"Ready","Needs 1 correct option"),IF(D31="REORDER",IF(AND(G31&gt;=2,H31=G31),"Ready","All tiles must be correct"),IF(D31="MATCHING",IF(AND(G31&gt;=2,G31&lt;=12,MOD(G31,2)=0,H31=G31),"Ready","Needs 1-6 correct pairs"),IF(AND(G31&gt;=2,G31&lt;=6,H31=1),"Ready","Needs 2-6 options; 1 correct")))))))))</x:f>
      </x:c>
    </x:row>
    <x:row r="32">
      <x:c r="A32" s="65"/>
      <x:c r="B32" s="65"/>
      <x:c r="C32" s="65"/>
      <x:c r="D32" s="65"/>
      <x:c r="E32" s="65"/>
      <x:c r="F32" s="65"/>
      <x:c r="G32" s="68" t="str">
        <x:f>IF(A32="","",COUNTIF('Options'!$A$5:$A$404,A32))</x:f>
      </x:c>
      <x:c r="H32" s="68" t="str">
        <x:f>IF(A32="","",COUNTIFS('Options'!$A$5:$A$404,A32,'Options'!$D$5:$D$404,"TRUE"))</x:f>
      </x:c>
      <x:c r="I32" s="68" t="str">
        <x:f>IF(COUNTA(A32:F32)=0,"",IF(OR(A32="",B32="",C32="",D32="",E32=""),"Missing required",IF(COUNTIF($A$5:$A$154,A32)&gt;1,"Duplicate challenge ID",IF(COUNTIF('Lessons'!$A$5:$A$84,B32)=0,"Unknown lesson ID",IF(COUNTIF('Challenge Guide'!$A$5:$A$13,D32)=0,"Unknown type",IF(D32="DICTATION",IF(AND(G32=1,H32=1),"Ready","Needs 1 correct option"),IF(D32="REORDER",IF(AND(G32&gt;=2,H32=G32),"Ready","All tiles must be correct"),IF(D32="MATCHING",IF(AND(G32&gt;=2,G32&lt;=12,MOD(G32,2)=0,H32=G32),"Ready","Needs 1-6 correct pairs"),IF(AND(G32&gt;=2,G32&lt;=6,H32=1),"Ready","Needs 2-6 options; 1 correct")))))))))</x:f>
      </x:c>
    </x:row>
    <x:row r="33">
      <x:c r="A33" s="65"/>
      <x:c r="B33" s="65"/>
      <x:c r="C33" s="65"/>
      <x:c r="D33" s="65"/>
      <x:c r="E33" s="65"/>
      <x:c r="F33" s="65"/>
      <x:c r="G33" s="68" t="str">
        <x:f>IF(A33="","",COUNTIF('Options'!$A$5:$A$404,A33))</x:f>
      </x:c>
      <x:c r="H33" s="68" t="str">
        <x:f>IF(A33="","",COUNTIFS('Options'!$A$5:$A$404,A33,'Options'!$D$5:$D$404,"TRUE"))</x:f>
      </x:c>
      <x:c r="I33" s="68" t="str">
        <x:f>IF(COUNTA(A33:F33)=0,"",IF(OR(A33="",B33="",C33="",D33="",E33=""),"Missing required",IF(COUNTIF($A$5:$A$154,A33)&gt;1,"Duplicate challenge ID",IF(COUNTIF('Lessons'!$A$5:$A$84,B33)=0,"Unknown lesson ID",IF(COUNTIF('Challenge Guide'!$A$5:$A$13,D33)=0,"Unknown type",IF(D33="DICTATION",IF(AND(G33=1,H33=1),"Ready","Needs 1 correct option"),IF(D33="REORDER",IF(AND(G33&gt;=2,H33=G33),"Ready","All tiles must be correct"),IF(D33="MATCHING",IF(AND(G33&gt;=2,G33&lt;=12,MOD(G33,2)=0,H33=G33),"Ready","Needs 1-6 correct pairs"),IF(AND(G33&gt;=2,G33&lt;=6,H33=1),"Ready","Needs 2-6 options; 1 correct")))))))))</x:f>
      </x:c>
    </x:row>
    <x:row r="34">
      <x:c r="A34" s="65"/>
      <x:c r="B34" s="65"/>
      <x:c r="C34" s="65"/>
      <x:c r="D34" s="65"/>
      <x:c r="E34" s="65"/>
      <x:c r="F34" s="65"/>
      <x:c r="G34" s="68" t="str">
        <x:f>IF(A34="","",COUNTIF('Options'!$A$5:$A$404,A34))</x:f>
      </x:c>
      <x:c r="H34" s="68" t="str">
        <x:f>IF(A34="","",COUNTIFS('Options'!$A$5:$A$404,A34,'Options'!$D$5:$D$404,"TRUE"))</x:f>
      </x:c>
      <x:c r="I34" s="68" t="str">
        <x:f>IF(COUNTA(A34:F34)=0,"",IF(OR(A34="",B34="",C34="",D34="",E34=""),"Missing required",IF(COUNTIF($A$5:$A$154,A34)&gt;1,"Duplicate challenge ID",IF(COUNTIF('Lessons'!$A$5:$A$84,B34)=0,"Unknown lesson ID",IF(COUNTIF('Challenge Guide'!$A$5:$A$13,D34)=0,"Unknown type",IF(D34="DICTATION",IF(AND(G34=1,H34=1),"Ready","Needs 1 correct option"),IF(D34="REORDER",IF(AND(G34&gt;=2,H34=G34),"Ready","All tiles must be correct"),IF(D34="MATCHING",IF(AND(G34&gt;=2,G34&lt;=12,MOD(G34,2)=0,H34=G34),"Ready","Needs 1-6 correct pairs"),IF(AND(G34&gt;=2,G34&lt;=6,H34=1),"Ready","Needs 2-6 options; 1 correct")))))))))</x:f>
      </x:c>
    </x:row>
    <x:row r="35">
      <x:c r="A35" s="65"/>
      <x:c r="B35" s="65"/>
      <x:c r="C35" s="65"/>
      <x:c r="D35" s="65"/>
      <x:c r="E35" s="65"/>
      <x:c r="F35" s="65"/>
      <x:c r="G35" s="68" t="str">
        <x:f>IF(A35="","",COUNTIF('Options'!$A$5:$A$404,A35))</x:f>
      </x:c>
      <x:c r="H35" s="68" t="str">
        <x:f>IF(A35="","",COUNTIFS('Options'!$A$5:$A$404,A35,'Options'!$D$5:$D$404,"TRUE"))</x:f>
      </x:c>
      <x:c r="I35" s="68" t="str">
        <x:f>IF(COUNTA(A35:F35)=0,"",IF(OR(A35="",B35="",C35="",D35="",E35=""),"Missing required",IF(COUNTIF($A$5:$A$154,A35)&gt;1,"Duplicate challenge ID",IF(COUNTIF('Lessons'!$A$5:$A$84,B35)=0,"Unknown lesson ID",IF(COUNTIF('Challenge Guide'!$A$5:$A$13,D35)=0,"Unknown type",IF(D35="DICTATION",IF(AND(G35=1,H35=1),"Ready","Needs 1 correct option"),IF(D35="REORDER",IF(AND(G35&gt;=2,H35=G35),"Ready","All tiles must be correct"),IF(D35="MATCHING",IF(AND(G35&gt;=2,G35&lt;=12,MOD(G35,2)=0,H35=G35),"Ready","Needs 1-6 correct pairs"),IF(AND(G35&gt;=2,G35&lt;=6,H35=1),"Ready","Needs 2-6 options; 1 correct")))))))))</x:f>
      </x:c>
    </x:row>
    <x:row r="36">
      <x:c r="A36" s="65"/>
      <x:c r="B36" s="65"/>
      <x:c r="C36" s="65"/>
      <x:c r="D36" s="65"/>
      <x:c r="E36" s="65"/>
      <x:c r="F36" s="65"/>
      <x:c r="G36" s="68" t="str">
        <x:f>IF(A36="","",COUNTIF('Options'!$A$5:$A$404,A36))</x:f>
      </x:c>
      <x:c r="H36" s="68" t="str">
        <x:f>IF(A36="","",COUNTIFS('Options'!$A$5:$A$404,A36,'Options'!$D$5:$D$404,"TRUE"))</x:f>
      </x:c>
      <x:c r="I36" s="68" t="str">
        <x:f>IF(COUNTA(A36:F36)=0,"",IF(OR(A36="",B36="",C36="",D36="",E36=""),"Missing required",IF(COUNTIF($A$5:$A$154,A36)&gt;1,"Duplicate challenge ID",IF(COUNTIF('Lessons'!$A$5:$A$84,B36)=0,"Unknown lesson ID",IF(COUNTIF('Challenge Guide'!$A$5:$A$13,D36)=0,"Unknown type",IF(D36="DICTATION",IF(AND(G36=1,H36=1),"Ready","Needs 1 correct option"),IF(D36="REORDER",IF(AND(G36&gt;=2,H36=G36),"Ready","All tiles must be correct"),IF(D36="MATCHING",IF(AND(G36&gt;=2,G36&lt;=12,MOD(G36,2)=0,H36=G36),"Ready","Needs 1-6 correct pairs"),IF(AND(G36&gt;=2,G36&lt;=6,H36=1),"Ready","Needs 2-6 options; 1 correct")))))))))</x:f>
      </x:c>
    </x:row>
    <x:row r="37">
      <x:c r="A37" s="65"/>
      <x:c r="B37" s="65"/>
      <x:c r="C37" s="65"/>
      <x:c r="D37" s="65"/>
      <x:c r="E37" s="65"/>
      <x:c r="F37" s="65"/>
      <x:c r="G37" s="68" t="str">
        <x:f>IF(A37="","",COUNTIF('Options'!$A$5:$A$404,A37))</x:f>
      </x:c>
      <x:c r="H37" s="68" t="str">
        <x:f>IF(A37="","",COUNTIFS('Options'!$A$5:$A$404,A37,'Options'!$D$5:$D$404,"TRUE"))</x:f>
      </x:c>
      <x:c r="I37" s="68" t="str">
        <x:f>IF(COUNTA(A37:F37)=0,"",IF(OR(A37="",B37="",C37="",D37="",E37=""),"Missing required",IF(COUNTIF($A$5:$A$154,A37)&gt;1,"Duplicate challenge ID",IF(COUNTIF('Lessons'!$A$5:$A$84,B37)=0,"Unknown lesson ID",IF(COUNTIF('Challenge Guide'!$A$5:$A$13,D37)=0,"Unknown type",IF(D37="DICTATION",IF(AND(G37=1,H37=1),"Ready","Needs 1 correct option"),IF(D37="REORDER",IF(AND(G37&gt;=2,H37=G37),"Ready","All tiles must be correct"),IF(D37="MATCHING",IF(AND(G37&gt;=2,G37&lt;=12,MOD(G37,2)=0,H37=G37),"Ready","Needs 1-6 correct pairs"),IF(AND(G37&gt;=2,G37&lt;=6,H37=1),"Ready","Needs 2-6 options; 1 correct")))))))))</x:f>
      </x:c>
    </x:row>
    <x:row r="38">
      <x:c r="A38" s="65"/>
      <x:c r="B38" s="65"/>
      <x:c r="C38" s="65"/>
      <x:c r="D38" s="65"/>
      <x:c r="E38" s="65"/>
      <x:c r="F38" s="65"/>
      <x:c r="G38" s="68" t="str">
        <x:f>IF(A38="","",COUNTIF('Options'!$A$5:$A$404,A38))</x:f>
      </x:c>
      <x:c r="H38" s="68" t="str">
        <x:f>IF(A38="","",COUNTIFS('Options'!$A$5:$A$404,A38,'Options'!$D$5:$D$404,"TRUE"))</x:f>
      </x:c>
      <x:c r="I38" s="68" t="str">
        <x:f>IF(COUNTA(A38:F38)=0,"",IF(OR(A38="",B38="",C38="",D38="",E38=""),"Missing required",IF(COUNTIF($A$5:$A$154,A38)&gt;1,"Duplicate challenge ID",IF(COUNTIF('Lessons'!$A$5:$A$84,B38)=0,"Unknown lesson ID",IF(COUNTIF('Challenge Guide'!$A$5:$A$13,D38)=0,"Unknown type",IF(D38="DICTATION",IF(AND(G38=1,H38=1),"Ready","Needs 1 correct option"),IF(D38="REORDER",IF(AND(G38&gt;=2,H38=G38),"Ready","All tiles must be correct"),IF(D38="MATCHING",IF(AND(G38&gt;=2,G38&lt;=12,MOD(G38,2)=0,H38=G38),"Ready","Needs 1-6 correct pairs"),IF(AND(G38&gt;=2,G38&lt;=6,H38=1),"Ready","Needs 2-6 options; 1 correct")))))))))</x:f>
      </x:c>
    </x:row>
    <x:row r="39">
      <x:c r="A39" s="65"/>
      <x:c r="B39" s="65"/>
      <x:c r="C39" s="65"/>
      <x:c r="D39" s="65"/>
      <x:c r="E39" s="65"/>
      <x:c r="F39" s="65"/>
      <x:c r="G39" s="68" t="str">
        <x:f>IF(A39="","",COUNTIF('Options'!$A$5:$A$404,A39))</x:f>
      </x:c>
      <x:c r="H39" s="68" t="str">
        <x:f>IF(A39="","",COUNTIFS('Options'!$A$5:$A$404,A39,'Options'!$D$5:$D$404,"TRUE"))</x:f>
      </x:c>
      <x:c r="I39" s="68" t="str">
        <x:f>IF(COUNTA(A39:F39)=0,"",IF(OR(A39="",B39="",C39="",D39="",E39=""),"Missing required",IF(COUNTIF($A$5:$A$154,A39)&gt;1,"Duplicate challenge ID",IF(COUNTIF('Lessons'!$A$5:$A$84,B39)=0,"Unknown lesson ID",IF(COUNTIF('Challenge Guide'!$A$5:$A$13,D39)=0,"Unknown type",IF(D39="DICTATION",IF(AND(G39=1,H39=1),"Ready","Needs 1 correct option"),IF(D39="REORDER",IF(AND(G39&gt;=2,H39=G39),"Ready","All tiles must be correct"),IF(D39="MATCHING",IF(AND(G39&gt;=2,G39&lt;=12,MOD(G39,2)=0,H39=G39),"Ready","Needs 1-6 correct pairs"),IF(AND(G39&gt;=2,G39&lt;=6,H39=1),"Ready","Needs 2-6 options; 1 correct")))))))))</x:f>
      </x:c>
    </x:row>
    <x:row r="40">
      <x:c r="A40" s="65"/>
      <x:c r="B40" s="65"/>
      <x:c r="C40" s="65"/>
      <x:c r="D40" s="65"/>
      <x:c r="E40" s="65"/>
      <x:c r="F40" s="65"/>
      <x:c r="G40" s="68" t="str">
        <x:f>IF(A40="","",COUNTIF('Options'!$A$5:$A$404,A40))</x:f>
      </x:c>
      <x:c r="H40" s="68" t="str">
        <x:f>IF(A40="","",COUNTIFS('Options'!$A$5:$A$404,A40,'Options'!$D$5:$D$404,"TRUE"))</x:f>
      </x:c>
      <x:c r="I40" s="68" t="str">
        <x:f>IF(COUNTA(A40:F40)=0,"",IF(OR(A40="",B40="",C40="",D40="",E40=""),"Missing required",IF(COUNTIF($A$5:$A$154,A40)&gt;1,"Duplicate challenge ID",IF(COUNTIF('Lessons'!$A$5:$A$84,B40)=0,"Unknown lesson ID",IF(COUNTIF('Challenge Guide'!$A$5:$A$13,D40)=0,"Unknown type",IF(D40="DICTATION",IF(AND(G40=1,H40=1),"Ready","Needs 1 correct option"),IF(D40="REORDER",IF(AND(G40&gt;=2,H40=G40),"Ready","All tiles must be correct"),IF(D40="MATCHING",IF(AND(G40&gt;=2,G40&lt;=12,MOD(G40,2)=0,H40=G40),"Ready","Needs 1-6 correct pairs"),IF(AND(G40&gt;=2,G40&lt;=6,H40=1),"Ready","Needs 2-6 options; 1 correct")))))))))</x:f>
      </x:c>
    </x:row>
    <x:row r="41">
      <x:c r="A41" s="65"/>
      <x:c r="B41" s="65"/>
      <x:c r="C41" s="65"/>
      <x:c r="D41" s="65"/>
      <x:c r="E41" s="65"/>
      <x:c r="F41" s="65"/>
      <x:c r="G41" s="68" t="str">
        <x:f>IF(A41="","",COUNTIF('Options'!$A$5:$A$404,A41))</x:f>
      </x:c>
      <x:c r="H41" s="68" t="str">
        <x:f>IF(A41="","",COUNTIFS('Options'!$A$5:$A$404,A41,'Options'!$D$5:$D$404,"TRUE"))</x:f>
      </x:c>
      <x:c r="I41" s="68" t="str">
        <x:f>IF(COUNTA(A41:F41)=0,"",IF(OR(A41="",B41="",C41="",D41="",E41=""),"Missing required",IF(COUNTIF($A$5:$A$154,A41)&gt;1,"Duplicate challenge ID",IF(COUNTIF('Lessons'!$A$5:$A$84,B41)=0,"Unknown lesson ID",IF(COUNTIF('Challenge Guide'!$A$5:$A$13,D41)=0,"Unknown type",IF(D41="DICTATION",IF(AND(G41=1,H41=1),"Ready","Needs 1 correct option"),IF(D41="REORDER",IF(AND(G41&gt;=2,H41=G41),"Ready","All tiles must be correct"),IF(D41="MATCHING",IF(AND(G41&gt;=2,G41&lt;=12,MOD(G41,2)=0,H41=G41),"Ready","Needs 1-6 correct pairs"),IF(AND(G41&gt;=2,G41&lt;=6,H41=1),"Ready","Needs 2-6 options; 1 correct")))))))))</x:f>
      </x:c>
    </x:row>
    <x:row r="42">
      <x:c r="A42" s="65"/>
      <x:c r="B42" s="65"/>
      <x:c r="C42" s="65"/>
      <x:c r="D42" s="65"/>
      <x:c r="E42" s="65"/>
      <x:c r="F42" s="65"/>
      <x:c r="G42" s="68" t="str">
        <x:f>IF(A42="","",COUNTIF('Options'!$A$5:$A$404,A42))</x:f>
      </x:c>
      <x:c r="H42" s="68" t="str">
        <x:f>IF(A42="","",COUNTIFS('Options'!$A$5:$A$404,A42,'Options'!$D$5:$D$404,"TRUE"))</x:f>
      </x:c>
      <x:c r="I42" s="68" t="str">
        <x:f>IF(COUNTA(A42:F42)=0,"",IF(OR(A42="",B42="",C42="",D42="",E42=""),"Missing required",IF(COUNTIF($A$5:$A$154,A42)&gt;1,"Duplicate challenge ID",IF(COUNTIF('Lessons'!$A$5:$A$84,B42)=0,"Unknown lesson ID",IF(COUNTIF('Challenge Guide'!$A$5:$A$13,D42)=0,"Unknown type",IF(D42="DICTATION",IF(AND(G42=1,H42=1),"Ready","Needs 1 correct option"),IF(D42="REORDER",IF(AND(G42&gt;=2,H42=G42),"Ready","All tiles must be correct"),IF(D42="MATCHING",IF(AND(G42&gt;=2,G42&lt;=12,MOD(G42,2)=0,H42=G42),"Ready","Needs 1-6 correct pairs"),IF(AND(G42&gt;=2,G42&lt;=6,H42=1),"Ready","Needs 2-6 options; 1 correct")))))))))</x:f>
      </x:c>
    </x:row>
    <x:row r="43">
      <x:c r="A43" s="65"/>
      <x:c r="B43" s="65"/>
      <x:c r="C43" s="65"/>
      <x:c r="D43" s="65"/>
      <x:c r="E43" s="65"/>
      <x:c r="F43" s="65"/>
      <x:c r="G43" s="68" t="str">
        <x:f>IF(A43="","",COUNTIF('Options'!$A$5:$A$404,A43))</x:f>
      </x:c>
      <x:c r="H43" s="68" t="str">
        <x:f>IF(A43="","",COUNTIFS('Options'!$A$5:$A$404,A43,'Options'!$D$5:$D$404,"TRUE"))</x:f>
      </x:c>
      <x:c r="I43" s="68" t="str">
        <x:f>IF(COUNTA(A43:F43)=0,"",IF(OR(A43="",B43="",C43="",D43="",E43=""),"Missing required",IF(COUNTIF($A$5:$A$154,A43)&gt;1,"Duplicate challenge ID",IF(COUNTIF('Lessons'!$A$5:$A$84,B43)=0,"Unknown lesson ID",IF(COUNTIF('Challenge Guide'!$A$5:$A$13,D43)=0,"Unknown type",IF(D43="DICTATION",IF(AND(G43=1,H43=1),"Ready","Needs 1 correct option"),IF(D43="REORDER",IF(AND(G43&gt;=2,H43=G43),"Ready","All tiles must be correct"),IF(D43="MATCHING",IF(AND(G43&gt;=2,G43&lt;=12,MOD(G43,2)=0,H43=G43),"Ready","Needs 1-6 correct pairs"),IF(AND(G43&gt;=2,G43&lt;=6,H43=1),"Ready","Needs 2-6 options; 1 correct")))))))))</x:f>
      </x:c>
    </x:row>
    <x:row r="44">
      <x:c r="A44" s="65"/>
      <x:c r="B44" s="65"/>
      <x:c r="C44" s="65"/>
      <x:c r="D44" s="65"/>
      <x:c r="E44" s="65"/>
      <x:c r="F44" s="65"/>
      <x:c r="G44" s="68" t="str">
        <x:f>IF(A44="","",COUNTIF('Options'!$A$5:$A$404,A44))</x:f>
      </x:c>
      <x:c r="H44" s="68" t="str">
        <x:f>IF(A44="","",COUNTIFS('Options'!$A$5:$A$404,A44,'Options'!$D$5:$D$404,"TRUE"))</x:f>
      </x:c>
      <x:c r="I44" s="68" t="str">
        <x:f>IF(COUNTA(A44:F44)=0,"",IF(OR(A44="",B44="",C44="",D44="",E44=""),"Missing required",IF(COUNTIF($A$5:$A$154,A44)&gt;1,"Duplicate challenge ID",IF(COUNTIF('Lessons'!$A$5:$A$84,B44)=0,"Unknown lesson ID",IF(COUNTIF('Challenge Guide'!$A$5:$A$13,D44)=0,"Unknown type",IF(D44="DICTATION",IF(AND(G44=1,H44=1),"Ready","Needs 1 correct option"),IF(D44="REORDER",IF(AND(G44&gt;=2,H44=G44),"Ready","All tiles must be correct"),IF(D44="MATCHING",IF(AND(G44&gt;=2,G44&lt;=12,MOD(G44,2)=0,H44=G44),"Ready","Needs 1-6 correct pairs"),IF(AND(G44&gt;=2,G44&lt;=6,H44=1),"Ready","Needs 2-6 options; 1 correct")))))))))</x:f>
      </x:c>
    </x:row>
    <x:row r="45">
      <x:c r="A45" s="65"/>
      <x:c r="B45" s="65"/>
      <x:c r="C45" s="65"/>
      <x:c r="D45" s="65"/>
      <x:c r="E45" s="65"/>
      <x:c r="F45" s="65"/>
      <x:c r="G45" s="68" t="str">
        <x:f>IF(A45="","",COUNTIF('Options'!$A$5:$A$404,A45))</x:f>
      </x:c>
      <x:c r="H45" s="68" t="str">
        <x:f>IF(A45="","",COUNTIFS('Options'!$A$5:$A$404,A45,'Options'!$D$5:$D$404,"TRUE"))</x:f>
      </x:c>
      <x:c r="I45" s="68" t="str">
        <x:f>IF(COUNTA(A45:F45)=0,"",IF(OR(A45="",B45="",C45="",D45="",E45=""),"Missing required",IF(COUNTIF($A$5:$A$154,A45)&gt;1,"Duplicate challenge ID",IF(COUNTIF('Lessons'!$A$5:$A$84,B45)=0,"Unknown lesson ID",IF(COUNTIF('Challenge Guide'!$A$5:$A$13,D45)=0,"Unknown type",IF(D45="DICTATION",IF(AND(G45=1,H45=1),"Ready","Needs 1 correct option"),IF(D45="REORDER",IF(AND(G45&gt;=2,H45=G45),"Ready","All tiles must be correct"),IF(D45="MATCHING",IF(AND(G45&gt;=2,G45&lt;=12,MOD(G45,2)=0,H45=G45),"Ready","Needs 1-6 correct pairs"),IF(AND(G45&gt;=2,G45&lt;=6,H45=1),"Ready","Needs 2-6 options; 1 correct")))))))))</x:f>
      </x:c>
    </x:row>
    <x:row r="46">
      <x:c r="A46" s="65"/>
      <x:c r="B46" s="65"/>
      <x:c r="C46" s="65"/>
      <x:c r="D46" s="65"/>
      <x:c r="E46" s="65"/>
      <x:c r="F46" s="65"/>
      <x:c r="G46" s="68" t="str">
        <x:f>IF(A46="","",COUNTIF('Options'!$A$5:$A$404,A46))</x:f>
      </x:c>
      <x:c r="H46" s="68" t="str">
        <x:f>IF(A46="","",COUNTIFS('Options'!$A$5:$A$404,A46,'Options'!$D$5:$D$404,"TRUE"))</x:f>
      </x:c>
      <x:c r="I46" s="68" t="str">
        <x:f>IF(COUNTA(A46:F46)=0,"",IF(OR(A46="",B46="",C46="",D46="",E46=""),"Missing required",IF(COUNTIF($A$5:$A$154,A46)&gt;1,"Duplicate challenge ID",IF(COUNTIF('Lessons'!$A$5:$A$84,B46)=0,"Unknown lesson ID",IF(COUNTIF('Challenge Guide'!$A$5:$A$13,D46)=0,"Unknown type",IF(D46="DICTATION",IF(AND(G46=1,H46=1),"Ready","Needs 1 correct option"),IF(D46="REORDER",IF(AND(G46&gt;=2,H46=G46),"Ready","All tiles must be correct"),IF(D46="MATCHING",IF(AND(G46&gt;=2,G46&lt;=12,MOD(G46,2)=0,H46=G46),"Ready","Needs 1-6 correct pairs"),IF(AND(G46&gt;=2,G46&lt;=6,H46=1),"Ready","Needs 2-6 options; 1 correct")))))))))</x:f>
      </x:c>
    </x:row>
    <x:row r="47">
      <x:c r="A47" s="65"/>
      <x:c r="B47" s="65"/>
      <x:c r="C47" s="65"/>
      <x:c r="D47" s="65"/>
      <x:c r="E47" s="65"/>
      <x:c r="F47" s="65"/>
      <x:c r="G47" s="68" t="str">
        <x:f>IF(A47="","",COUNTIF('Options'!$A$5:$A$404,A47))</x:f>
      </x:c>
      <x:c r="H47" s="68" t="str">
        <x:f>IF(A47="","",COUNTIFS('Options'!$A$5:$A$404,A47,'Options'!$D$5:$D$404,"TRUE"))</x:f>
      </x:c>
      <x:c r="I47" s="68" t="str">
        <x:f>IF(COUNTA(A47:F47)=0,"",IF(OR(A47="",B47="",C47="",D47="",E47=""),"Missing required",IF(COUNTIF($A$5:$A$154,A47)&gt;1,"Duplicate challenge ID",IF(COUNTIF('Lessons'!$A$5:$A$84,B47)=0,"Unknown lesson ID",IF(COUNTIF('Challenge Guide'!$A$5:$A$13,D47)=0,"Unknown type",IF(D47="DICTATION",IF(AND(G47=1,H47=1),"Ready","Needs 1 correct option"),IF(D47="REORDER",IF(AND(G47&gt;=2,H47=G47),"Ready","All tiles must be correct"),IF(D47="MATCHING",IF(AND(G47&gt;=2,G47&lt;=12,MOD(G47,2)=0,H47=G47),"Ready","Needs 1-6 correct pairs"),IF(AND(G47&gt;=2,G47&lt;=6,H47=1),"Ready","Needs 2-6 options; 1 correct")))))))))</x:f>
      </x:c>
    </x:row>
    <x:row r="48">
      <x:c r="A48" s="65"/>
      <x:c r="B48" s="65"/>
      <x:c r="C48" s="65"/>
      <x:c r="D48" s="65"/>
      <x:c r="E48" s="65"/>
      <x:c r="F48" s="65"/>
      <x:c r="G48" s="68" t="str">
        <x:f>IF(A48="","",COUNTIF('Options'!$A$5:$A$404,A48))</x:f>
      </x:c>
      <x:c r="H48" s="68" t="str">
        <x:f>IF(A48="","",COUNTIFS('Options'!$A$5:$A$404,A48,'Options'!$D$5:$D$404,"TRUE"))</x:f>
      </x:c>
      <x:c r="I48" s="68" t="str">
        <x:f>IF(COUNTA(A48:F48)=0,"",IF(OR(A48="",B48="",C48="",D48="",E48=""),"Missing required",IF(COUNTIF($A$5:$A$154,A48)&gt;1,"Duplicate challenge ID",IF(COUNTIF('Lessons'!$A$5:$A$84,B48)=0,"Unknown lesson ID",IF(COUNTIF('Challenge Guide'!$A$5:$A$13,D48)=0,"Unknown type",IF(D48="DICTATION",IF(AND(G48=1,H48=1),"Ready","Needs 1 correct option"),IF(D48="REORDER",IF(AND(G48&gt;=2,H48=G48),"Ready","All tiles must be correct"),IF(D48="MATCHING",IF(AND(G48&gt;=2,G48&lt;=12,MOD(G48,2)=0,H48=G48),"Ready","Needs 1-6 correct pairs"),IF(AND(G48&gt;=2,G48&lt;=6,H48=1),"Ready","Needs 2-6 options; 1 correct")))))))))</x:f>
      </x:c>
    </x:row>
    <x:row r="49">
      <x:c r="A49" s="65"/>
      <x:c r="B49" s="65"/>
      <x:c r="C49" s="65"/>
      <x:c r="D49" s="65"/>
      <x:c r="E49" s="65"/>
      <x:c r="F49" s="65"/>
      <x:c r="G49" s="68" t="str">
        <x:f>IF(A49="","",COUNTIF('Options'!$A$5:$A$404,A49))</x:f>
      </x:c>
      <x:c r="H49" s="68" t="str">
        <x:f>IF(A49="","",COUNTIFS('Options'!$A$5:$A$404,A49,'Options'!$D$5:$D$404,"TRUE"))</x:f>
      </x:c>
      <x:c r="I49" s="68" t="str">
        <x:f>IF(COUNTA(A49:F49)=0,"",IF(OR(A49="",B49="",C49="",D49="",E49=""),"Missing required",IF(COUNTIF($A$5:$A$154,A49)&gt;1,"Duplicate challenge ID",IF(COUNTIF('Lessons'!$A$5:$A$84,B49)=0,"Unknown lesson ID",IF(COUNTIF('Challenge Guide'!$A$5:$A$13,D49)=0,"Unknown type",IF(D49="DICTATION",IF(AND(G49=1,H49=1),"Ready","Needs 1 correct option"),IF(D49="REORDER",IF(AND(G49&gt;=2,H49=G49),"Ready","All tiles must be correct"),IF(D49="MATCHING",IF(AND(G49&gt;=2,G49&lt;=12,MOD(G49,2)=0,H49=G49),"Ready","Needs 1-6 correct pairs"),IF(AND(G49&gt;=2,G49&lt;=6,H49=1),"Ready","Needs 2-6 options; 1 correct")))))))))</x:f>
      </x:c>
    </x:row>
    <x:row r="50">
      <x:c r="A50" s="65"/>
      <x:c r="B50" s="65"/>
      <x:c r="C50" s="65"/>
      <x:c r="D50" s="65"/>
      <x:c r="E50" s="65"/>
      <x:c r="F50" s="65"/>
      <x:c r="G50" s="68" t="str">
        <x:f>IF(A50="","",COUNTIF('Options'!$A$5:$A$404,A50))</x:f>
      </x:c>
      <x:c r="H50" s="68" t="str">
        <x:f>IF(A50="","",COUNTIFS('Options'!$A$5:$A$404,A50,'Options'!$D$5:$D$404,"TRUE"))</x:f>
      </x:c>
      <x:c r="I50" s="68" t="str">
        <x:f>IF(COUNTA(A50:F50)=0,"",IF(OR(A50="",B50="",C50="",D50="",E50=""),"Missing required",IF(COUNTIF($A$5:$A$154,A50)&gt;1,"Duplicate challenge ID",IF(COUNTIF('Lessons'!$A$5:$A$84,B50)=0,"Unknown lesson ID",IF(COUNTIF('Challenge Guide'!$A$5:$A$13,D50)=0,"Unknown type",IF(D50="DICTATION",IF(AND(G50=1,H50=1),"Ready","Needs 1 correct option"),IF(D50="REORDER",IF(AND(G50&gt;=2,H50=G50),"Ready","All tiles must be correct"),IF(D50="MATCHING",IF(AND(G50&gt;=2,G50&lt;=12,MOD(G50,2)=0,H50=G50),"Ready","Needs 1-6 correct pairs"),IF(AND(G50&gt;=2,G50&lt;=6,H50=1),"Ready","Needs 2-6 options; 1 correct")))))))))</x:f>
      </x:c>
    </x:row>
    <x:row r="51">
      <x:c r="A51" s="65"/>
      <x:c r="B51" s="65"/>
      <x:c r="C51" s="65"/>
      <x:c r="D51" s="65"/>
      <x:c r="E51" s="65"/>
      <x:c r="F51" s="65"/>
      <x:c r="G51" s="68" t="str">
        <x:f>IF(A51="","",COUNTIF('Options'!$A$5:$A$404,A51))</x:f>
      </x:c>
      <x:c r="H51" s="68" t="str">
        <x:f>IF(A51="","",COUNTIFS('Options'!$A$5:$A$404,A51,'Options'!$D$5:$D$404,"TRUE"))</x:f>
      </x:c>
      <x:c r="I51" s="68" t="str">
        <x:f>IF(COUNTA(A51:F51)=0,"",IF(OR(A51="",B51="",C51="",D51="",E51=""),"Missing required",IF(COUNTIF($A$5:$A$154,A51)&gt;1,"Duplicate challenge ID",IF(COUNTIF('Lessons'!$A$5:$A$84,B51)=0,"Unknown lesson ID",IF(COUNTIF('Challenge Guide'!$A$5:$A$13,D51)=0,"Unknown type",IF(D51="DICTATION",IF(AND(G51=1,H51=1),"Ready","Needs 1 correct option"),IF(D51="REORDER",IF(AND(G51&gt;=2,H51=G51),"Ready","All tiles must be correct"),IF(D51="MATCHING",IF(AND(G51&gt;=2,G51&lt;=12,MOD(G51,2)=0,H51=G51),"Ready","Needs 1-6 correct pairs"),IF(AND(G51&gt;=2,G51&lt;=6,H51=1),"Ready","Needs 2-6 options; 1 correct")))))))))</x:f>
      </x:c>
    </x:row>
    <x:row r="52">
      <x:c r="A52" s="65"/>
      <x:c r="B52" s="65"/>
      <x:c r="C52" s="65"/>
      <x:c r="D52" s="65"/>
      <x:c r="E52" s="65"/>
      <x:c r="F52" s="65"/>
      <x:c r="G52" s="68" t="str">
        <x:f>IF(A52="","",COUNTIF('Options'!$A$5:$A$404,A52))</x:f>
      </x:c>
      <x:c r="H52" s="68" t="str">
        <x:f>IF(A52="","",COUNTIFS('Options'!$A$5:$A$404,A52,'Options'!$D$5:$D$404,"TRUE"))</x:f>
      </x:c>
      <x:c r="I52" s="68" t="str">
        <x:f>IF(COUNTA(A52:F52)=0,"",IF(OR(A52="",B52="",C52="",D52="",E52=""),"Missing required",IF(COUNTIF($A$5:$A$154,A52)&gt;1,"Duplicate challenge ID",IF(COUNTIF('Lessons'!$A$5:$A$84,B52)=0,"Unknown lesson ID",IF(COUNTIF('Challenge Guide'!$A$5:$A$13,D52)=0,"Unknown type",IF(D52="DICTATION",IF(AND(G52=1,H52=1),"Ready","Needs 1 correct option"),IF(D52="REORDER",IF(AND(G52&gt;=2,H52=G52),"Ready","All tiles must be correct"),IF(D52="MATCHING",IF(AND(G52&gt;=2,G52&lt;=12,MOD(G52,2)=0,H52=G52),"Ready","Needs 1-6 correct pairs"),IF(AND(G52&gt;=2,G52&lt;=6,H52=1),"Ready","Needs 2-6 options; 1 correct")))))))))</x:f>
      </x:c>
    </x:row>
    <x:row r="53">
      <x:c r="A53" s="65"/>
      <x:c r="B53" s="65"/>
      <x:c r="C53" s="65"/>
      <x:c r="D53" s="65"/>
      <x:c r="E53" s="65"/>
      <x:c r="F53" s="65"/>
      <x:c r="G53" s="68" t="str">
        <x:f>IF(A53="","",COUNTIF('Options'!$A$5:$A$404,A53))</x:f>
      </x:c>
      <x:c r="H53" s="68" t="str">
        <x:f>IF(A53="","",COUNTIFS('Options'!$A$5:$A$404,A53,'Options'!$D$5:$D$404,"TRUE"))</x:f>
      </x:c>
      <x:c r="I53" s="68" t="str">
        <x:f>IF(COUNTA(A53:F53)=0,"",IF(OR(A53="",B53="",C53="",D53="",E53=""),"Missing required",IF(COUNTIF($A$5:$A$154,A53)&gt;1,"Duplicate challenge ID",IF(COUNTIF('Lessons'!$A$5:$A$84,B53)=0,"Unknown lesson ID",IF(COUNTIF('Challenge Guide'!$A$5:$A$13,D53)=0,"Unknown type",IF(D53="DICTATION",IF(AND(G53=1,H53=1),"Ready","Needs 1 correct option"),IF(D53="REORDER",IF(AND(G53&gt;=2,H53=G53),"Ready","All tiles must be correct"),IF(D53="MATCHING",IF(AND(G53&gt;=2,G53&lt;=12,MOD(G53,2)=0,H53=G53),"Ready","Needs 1-6 correct pairs"),IF(AND(G53&gt;=2,G53&lt;=6,H53=1),"Ready","Needs 2-6 options; 1 correct")))))))))</x:f>
      </x:c>
    </x:row>
    <x:row r="54">
      <x:c r="A54" s="65"/>
      <x:c r="B54" s="65"/>
      <x:c r="C54" s="65"/>
      <x:c r="D54" s="65"/>
      <x:c r="E54" s="65"/>
      <x:c r="F54" s="65"/>
      <x:c r="G54" s="68" t="str">
        <x:f>IF(A54="","",COUNTIF('Options'!$A$5:$A$404,A54))</x:f>
      </x:c>
      <x:c r="H54" s="68" t="str">
        <x:f>IF(A54="","",COUNTIFS('Options'!$A$5:$A$404,A54,'Options'!$D$5:$D$404,"TRUE"))</x:f>
      </x:c>
      <x:c r="I54" s="68" t="str">
        <x:f>IF(COUNTA(A54:F54)=0,"",IF(OR(A54="",B54="",C54="",D54="",E54=""),"Missing required",IF(COUNTIF($A$5:$A$154,A54)&gt;1,"Duplicate challenge ID",IF(COUNTIF('Lessons'!$A$5:$A$84,B54)=0,"Unknown lesson ID",IF(COUNTIF('Challenge Guide'!$A$5:$A$13,D54)=0,"Unknown type",IF(D54="DICTATION",IF(AND(G54=1,H54=1),"Ready","Needs 1 correct option"),IF(D54="REORDER",IF(AND(G54&gt;=2,H54=G54),"Ready","All tiles must be correct"),IF(D54="MATCHING",IF(AND(G54&gt;=2,G54&lt;=12,MOD(G54,2)=0,H54=G54),"Ready","Needs 1-6 correct pairs"),IF(AND(G54&gt;=2,G54&lt;=6,H54=1),"Ready","Needs 2-6 options; 1 correct")))))))))</x:f>
      </x:c>
    </x:row>
    <x:row r="55">
      <x:c r="A55" s="65"/>
      <x:c r="B55" s="65"/>
      <x:c r="C55" s="65"/>
      <x:c r="D55" s="65"/>
      <x:c r="E55" s="65"/>
      <x:c r="F55" s="65"/>
      <x:c r="G55" s="68" t="str">
        <x:f>IF(A55="","",COUNTIF('Options'!$A$5:$A$404,A55))</x:f>
      </x:c>
      <x:c r="H55" s="68" t="str">
        <x:f>IF(A55="","",COUNTIFS('Options'!$A$5:$A$404,A55,'Options'!$D$5:$D$404,"TRUE"))</x:f>
      </x:c>
      <x:c r="I55" s="68" t="str">
        <x:f>IF(COUNTA(A55:F55)=0,"",IF(OR(A55="",B55="",C55="",D55="",E55=""),"Missing required",IF(COUNTIF($A$5:$A$154,A55)&gt;1,"Duplicate challenge ID",IF(COUNTIF('Lessons'!$A$5:$A$84,B55)=0,"Unknown lesson ID",IF(COUNTIF('Challenge Guide'!$A$5:$A$13,D55)=0,"Unknown type",IF(D55="DICTATION",IF(AND(G55=1,H55=1),"Ready","Needs 1 correct option"),IF(D55="REORDER",IF(AND(G55&gt;=2,H55=G55),"Ready","All tiles must be correct"),IF(D55="MATCHING",IF(AND(G55&gt;=2,G55&lt;=12,MOD(G55,2)=0,H55=G55),"Ready","Needs 1-6 correct pairs"),IF(AND(G55&gt;=2,G55&lt;=6,H55=1),"Ready","Needs 2-6 options; 1 correct")))))))))</x:f>
      </x:c>
    </x:row>
    <x:row r="56">
      <x:c r="A56" s="65"/>
      <x:c r="B56" s="65"/>
      <x:c r="C56" s="65"/>
      <x:c r="D56" s="65"/>
      <x:c r="E56" s="65"/>
      <x:c r="F56" s="65"/>
      <x:c r="G56" s="68" t="str">
        <x:f>IF(A56="","",COUNTIF('Options'!$A$5:$A$404,A56))</x:f>
      </x:c>
      <x:c r="H56" s="68" t="str">
        <x:f>IF(A56="","",COUNTIFS('Options'!$A$5:$A$404,A56,'Options'!$D$5:$D$404,"TRUE"))</x:f>
      </x:c>
      <x:c r="I56" s="68" t="str">
        <x:f>IF(COUNTA(A56:F56)=0,"",IF(OR(A56="",B56="",C56="",D56="",E56=""),"Missing required",IF(COUNTIF($A$5:$A$154,A56)&gt;1,"Duplicate challenge ID",IF(COUNTIF('Lessons'!$A$5:$A$84,B56)=0,"Unknown lesson ID",IF(COUNTIF('Challenge Guide'!$A$5:$A$13,D56)=0,"Unknown type",IF(D56="DICTATION",IF(AND(G56=1,H56=1),"Ready","Needs 1 correct option"),IF(D56="REORDER",IF(AND(G56&gt;=2,H56=G56),"Ready","All tiles must be correct"),IF(D56="MATCHING",IF(AND(G56&gt;=2,G56&lt;=12,MOD(G56,2)=0,H56=G56),"Ready","Needs 1-6 correct pairs"),IF(AND(G56&gt;=2,G56&lt;=6,H56=1),"Ready","Needs 2-6 options; 1 correct")))))))))</x:f>
      </x:c>
    </x:row>
    <x:row r="57">
      <x:c r="A57" s="65"/>
      <x:c r="B57" s="65"/>
      <x:c r="C57" s="65"/>
      <x:c r="D57" s="65"/>
      <x:c r="E57" s="65"/>
      <x:c r="F57" s="65"/>
      <x:c r="G57" s="68" t="str">
        <x:f>IF(A57="","",COUNTIF('Options'!$A$5:$A$404,A57))</x:f>
      </x:c>
      <x:c r="H57" s="68" t="str">
        <x:f>IF(A57="","",COUNTIFS('Options'!$A$5:$A$404,A57,'Options'!$D$5:$D$404,"TRUE"))</x:f>
      </x:c>
      <x:c r="I57" s="68" t="str">
        <x:f>IF(COUNTA(A57:F57)=0,"",IF(OR(A57="",B57="",C57="",D57="",E57=""),"Missing required",IF(COUNTIF($A$5:$A$154,A57)&gt;1,"Duplicate challenge ID",IF(COUNTIF('Lessons'!$A$5:$A$84,B57)=0,"Unknown lesson ID",IF(COUNTIF('Challenge Guide'!$A$5:$A$13,D57)=0,"Unknown type",IF(D57="DICTATION",IF(AND(G57=1,H57=1),"Ready","Needs 1 correct option"),IF(D57="REORDER",IF(AND(G57&gt;=2,H57=G57),"Ready","All tiles must be correct"),IF(D57="MATCHING",IF(AND(G57&gt;=2,G57&lt;=12,MOD(G57,2)=0,H57=G57),"Ready","Needs 1-6 correct pairs"),IF(AND(G57&gt;=2,G57&lt;=6,H57=1),"Ready","Needs 2-6 options; 1 correct")))))))))</x:f>
      </x:c>
    </x:row>
    <x:row r="58">
      <x:c r="A58" s="65"/>
      <x:c r="B58" s="65"/>
      <x:c r="C58" s="65"/>
      <x:c r="D58" s="65"/>
      <x:c r="E58" s="65"/>
      <x:c r="F58" s="65"/>
      <x:c r="G58" s="68" t="str">
        <x:f>IF(A58="","",COUNTIF('Options'!$A$5:$A$404,A58))</x:f>
      </x:c>
      <x:c r="H58" s="68" t="str">
        <x:f>IF(A58="","",COUNTIFS('Options'!$A$5:$A$404,A58,'Options'!$D$5:$D$404,"TRUE"))</x:f>
      </x:c>
      <x:c r="I58" s="68" t="str">
        <x:f>IF(COUNTA(A58:F58)=0,"",IF(OR(A58="",B58="",C58="",D58="",E58=""),"Missing required",IF(COUNTIF($A$5:$A$154,A58)&gt;1,"Duplicate challenge ID",IF(COUNTIF('Lessons'!$A$5:$A$84,B58)=0,"Unknown lesson ID",IF(COUNTIF('Challenge Guide'!$A$5:$A$13,D58)=0,"Unknown type",IF(D58="DICTATION",IF(AND(G58=1,H58=1),"Ready","Needs 1 correct option"),IF(D58="REORDER",IF(AND(G58&gt;=2,H58=G58),"Ready","All tiles must be correct"),IF(D58="MATCHING",IF(AND(G58&gt;=2,G58&lt;=12,MOD(G58,2)=0,H58=G58),"Ready","Needs 1-6 correct pairs"),IF(AND(G58&gt;=2,G58&lt;=6,H58=1),"Ready","Needs 2-6 options; 1 correct")))))))))</x:f>
      </x:c>
    </x:row>
    <x:row r="59">
      <x:c r="A59" s="65"/>
      <x:c r="B59" s="65"/>
      <x:c r="C59" s="65"/>
      <x:c r="D59" s="65"/>
      <x:c r="E59" s="65"/>
      <x:c r="F59" s="65"/>
      <x:c r="G59" s="68" t="str">
        <x:f>IF(A59="","",COUNTIF('Options'!$A$5:$A$404,A59))</x:f>
      </x:c>
      <x:c r="H59" s="68" t="str">
        <x:f>IF(A59="","",COUNTIFS('Options'!$A$5:$A$404,A59,'Options'!$D$5:$D$404,"TRUE"))</x:f>
      </x:c>
      <x:c r="I59" s="68" t="str">
        <x:f>IF(COUNTA(A59:F59)=0,"",IF(OR(A59="",B59="",C59="",D59="",E59=""),"Missing required",IF(COUNTIF($A$5:$A$154,A59)&gt;1,"Duplicate challenge ID",IF(COUNTIF('Lessons'!$A$5:$A$84,B59)=0,"Unknown lesson ID",IF(COUNTIF('Challenge Guide'!$A$5:$A$13,D59)=0,"Unknown type",IF(D59="DICTATION",IF(AND(G59=1,H59=1),"Ready","Needs 1 correct option"),IF(D59="REORDER",IF(AND(G59&gt;=2,H59=G59),"Ready","All tiles must be correct"),IF(D59="MATCHING",IF(AND(G59&gt;=2,G59&lt;=12,MOD(G59,2)=0,H59=G59),"Ready","Needs 1-6 correct pairs"),IF(AND(G59&gt;=2,G59&lt;=6,H59=1),"Ready","Needs 2-6 options; 1 correct")))))))))</x:f>
      </x:c>
    </x:row>
    <x:row r="60">
      <x:c r="A60" s="65"/>
      <x:c r="B60" s="65"/>
      <x:c r="C60" s="65"/>
      <x:c r="D60" s="65"/>
      <x:c r="E60" s="65"/>
      <x:c r="F60" s="65"/>
      <x:c r="G60" s="68" t="str">
        <x:f>IF(A60="","",COUNTIF('Options'!$A$5:$A$404,A60))</x:f>
      </x:c>
      <x:c r="H60" s="68" t="str">
        <x:f>IF(A60="","",COUNTIFS('Options'!$A$5:$A$404,A60,'Options'!$D$5:$D$404,"TRUE"))</x:f>
      </x:c>
      <x:c r="I60" s="68" t="str">
        <x:f>IF(COUNTA(A60:F60)=0,"",IF(OR(A60="",B60="",C60="",D60="",E60=""),"Missing required",IF(COUNTIF($A$5:$A$154,A60)&gt;1,"Duplicate challenge ID",IF(COUNTIF('Lessons'!$A$5:$A$84,B60)=0,"Unknown lesson ID",IF(COUNTIF('Challenge Guide'!$A$5:$A$13,D60)=0,"Unknown type",IF(D60="DICTATION",IF(AND(G60=1,H60=1),"Ready","Needs 1 correct option"),IF(D60="REORDER",IF(AND(G60&gt;=2,H60=G60),"Ready","All tiles must be correct"),IF(D60="MATCHING",IF(AND(G60&gt;=2,G60&lt;=12,MOD(G60,2)=0,H60=G60),"Ready","Needs 1-6 correct pairs"),IF(AND(G60&gt;=2,G60&lt;=6,H60=1),"Ready","Needs 2-6 options; 1 correct")))))))))</x:f>
      </x:c>
    </x:row>
    <x:row r="61">
      <x:c r="A61" s="65"/>
      <x:c r="B61" s="65"/>
      <x:c r="C61" s="65"/>
      <x:c r="D61" s="65"/>
      <x:c r="E61" s="65"/>
      <x:c r="F61" s="65"/>
      <x:c r="G61" s="68" t="str">
        <x:f>IF(A61="","",COUNTIF('Options'!$A$5:$A$404,A61))</x:f>
      </x:c>
      <x:c r="H61" s="68" t="str">
        <x:f>IF(A61="","",COUNTIFS('Options'!$A$5:$A$404,A61,'Options'!$D$5:$D$404,"TRUE"))</x:f>
      </x:c>
      <x:c r="I61" s="68" t="str">
        <x:f>IF(COUNTA(A61:F61)=0,"",IF(OR(A61="",B61="",C61="",D61="",E61=""),"Missing required",IF(COUNTIF($A$5:$A$154,A61)&gt;1,"Duplicate challenge ID",IF(COUNTIF('Lessons'!$A$5:$A$84,B61)=0,"Unknown lesson ID",IF(COUNTIF('Challenge Guide'!$A$5:$A$13,D61)=0,"Unknown type",IF(D61="DICTATION",IF(AND(G61=1,H61=1),"Ready","Needs 1 correct option"),IF(D61="REORDER",IF(AND(G61&gt;=2,H61=G61),"Ready","All tiles must be correct"),IF(D61="MATCHING",IF(AND(G61&gt;=2,G61&lt;=12,MOD(G61,2)=0,H61=G61),"Ready","Needs 1-6 correct pairs"),IF(AND(G61&gt;=2,G61&lt;=6,H61=1),"Ready","Needs 2-6 options; 1 correct")))))))))</x:f>
      </x:c>
    </x:row>
    <x:row r="62">
      <x:c r="A62" s="65"/>
      <x:c r="B62" s="65"/>
      <x:c r="C62" s="65"/>
      <x:c r="D62" s="65"/>
      <x:c r="E62" s="65"/>
      <x:c r="F62" s="65"/>
      <x:c r="G62" s="68" t="str">
        <x:f>IF(A62="","",COUNTIF('Options'!$A$5:$A$404,A62))</x:f>
      </x:c>
      <x:c r="H62" s="68" t="str">
        <x:f>IF(A62="","",COUNTIFS('Options'!$A$5:$A$404,A62,'Options'!$D$5:$D$404,"TRUE"))</x:f>
      </x:c>
      <x:c r="I62" s="68" t="str">
        <x:f>IF(COUNTA(A62:F62)=0,"",IF(OR(A62="",B62="",C62="",D62="",E62=""),"Missing required",IF(COUNTIF($A$5:$A$154,A62)&gt;1,"Duplicate challenge ID",IF(COUNTIF('Lessons'!$A$5:$A$84,B62)=0,"Unknown lesson ID",IF(COUNTIF('Challenge Guide'!$A$5:$A$13,D62)=0,"Unknown type",IF(D62="DICTATION",IF(AND(G62=1,H62=1),"Ready","Needs 1 correct option"),IF(D62="REORDER",IF(AND(G62&gt;=2,H62=G62),"Ready","All tiles must be correct"),IF(D62="MATCHING",IF(AND(G62&gt;=2,G62&lt;=12,MOD(G62,2)=0,H62=G62),"Ready","Needs 1-6 correct pairs"),IF(AND(G62&gt;=2,G62&lt;=6,H62=1),"Ready","Needs 2-6 options; 1 correct")))))))))</x:f>
      </x:c>
    </x:row>
    <x:row r="63">
      <x:c r="A63" s="65"/>
      <x:c r="B63" s="65"/>
      <x:c r="C63" s="65"/>
      <x:c r="D63" s="65"/>
      <x:c r="E63" s="65"/>
      <x:c r="F63" s="65"/>
      <x:c r="G63" s="68" t="str">
        <x:f>IF(A63="","",COUNTIF('Options'!$A$5:$A$404,A63))</x:f>
      </x:c>
      <x:c r="H63" s="68" t="str">
        <x:f>IF(A63="","",COUNTIFS('Options'!$A$5:$A$404,A63,'Options'!$D$5:$D$404,"TRUE"))</x:f>
      </x:c>
      <x:c r="I63" s="68" t="str">
        <x:f>IF(COUNTA(A63:F63)=0,"",IF(OR(A63="",B63="",C63="",D63="",E63=""),"Missing required",IF(COUNTIF($A$5:$A$154,A63)&gt;1,"Duplicate challenge ID",IF(COUNTIF('Lessons'!$A$5:$A$84,B63)=0,"Unknown lesson ID",IF(COUNTIF('Challenge Guide'!$A$5:$A$13,D63)=0,"Unknown type",IF(D63="DICTATION",IF(AND(G63=1,H63=1),"Ready","Needs 1 correct option"),IF(D63="REORDER",IF(AND(G63&gt;=2,H63=G63),"Ready","All tiles must be correct"),IF(D63="MATCHING",IF(AND(G63&gt;=2,G63&lt;=12,MOD(G63,2)=0,H63=G63),"Ready","Needs 1-6 correct pairs"),IF(AND(G63&gt;=2,G63&lt;=6,H63=1),"Ready","Needs 2-6 options; 1 correct")))))))))</x:f>
      </x:c>
    </x:row>
    <x:row r="64">
      <x:c r="A64" s="65"/>
      <x:c r="B64" s="65"/>
      <x:c r="C64" s="65"/>
      <x:c r="D64" s="65"/>
      <x:c r="E64" s="65"/>
      <x:c r="F64" s="65"/>
      <x:c r="G64" s="68" t="str">
        <x:f>IF(A64="","",COUNTIF('Options'!$A$5:$A$404,A64))</x:f>
      </x:c>
      <x:c r="H64" s="68" t="str">
        <x:f>IF(A64="","",COUNTIFS('Options'!$A$5:$A$404,A64,'Options'!$D$5:$D$404,"TRUE"))</x:f>
      </x:c>
      <x:c r="I64" s="68" t="str">
        <x:f>IF(COUNTA(A64:F64)=0,"",IF(OR(A64="",B64="",C64="",D64="",E64=""),"Missing required",IF(COUNTIF($A$5:$A$154,A64)&gt;1,"Duplicate challenge ID",IF(COUNTIF('Lessons'!$A$5:$A$84,B64)=0,"Unknown lesson ID",IF(COUNTIF('Challenge Guide'!$A$5:$A$13,D64)=0,"Unknown type",IF(D64="DICTATION",IF(AND(G64=1,H64=1),"Ready","Needs 1 correct option"),IF(D64="REORDER",IF(AND(G64&gt;=2,H64=G64),"Ready","All tiles must be correct"),IF(D64="MATCHING",IF(AND(G64&gt;=2,G64&lt;=12,MOD(G64,2)=0,H64=G64),"Ready","Needs 1-6 correct pairs"),IF(AND(G64&gt;=2,G64&lt;=6,H64=1),"Ready","Needs 2-6 options; 1 correct")))))))))</x:f>
      </x:c>
    </x:row>
    <x:row r="65">
      <x:c r="A65" s="65"/>
      <x:c r="B65" s="65"/>
      <x:c r="C65" s="65"/>
      <x:c r="D65" s="65"/>
      <x:c r="E65" s="65"/>
      <x:c r="F65" s="65"/>
      <x:c r="G65" s="68" t="str">
        <x:f>IF(A65="","",COUNTIF('Options'!$A$5:$A$404,A65))</x:f>
      </x:c>
      <x:c r="H65" s="68" t="str">
        <x:f>IF(A65="","",COUNTIFS('Options'!$A$5:$A$404,A65,'Options'!$D$5:$D$404,"TRUE"))</x:f>
      </x:c>
      <x:c r="I65" s="68" t="str">
        <x:f>IF(COUNTA(A65:F65)=0,"",IF(OR(A65="",B65="",C65="",D65="",E65=""),"Missing required",IF(COUNTIF($A$5:$A$154,A65)&gt;1,"Duplicate challenge ID",IF(COUNTIF('Lessons'!$A$5:$A$84,B65)=0,"Unknown lesson ID",IF(COUNTIF('Challenge Guide'!$A$5:$A$13,D65)=0,"Unknown type",IF(D65="DICTATION",IF(AND(G65=1,H65=1),"Ready","Needs 1 correct option"),IF(D65="REORDER",IF(AND(G65&gt;=2,H65=G65),"Ready","All tiles must be correct"),IF(D65="MATCHING",IF(AND(G65&gt;=2,G65&lt;=12,MOD(G65,2)=0,H65=G65),"Ready","Needs 1-6 correct pairs"),IF(AND(G65&gt;=2,G65&lt;=6,H65=1),"Ready","Needs 2-6 options; 1 correct")))))))))</x:f>
      </x:c>
    </x:row>
    <x:row r="66">
      <x:c r="A66" s="65"/>
      <x:c r="B66" s="65"/>
      <x:c r="C66" s="65"/>
      <x:c r="D66" s="65"/>
      <x:c r="E66" s="65"/>
      <x:c r="F66" s="65"/>
      <x:c r="G66" s="68" t="str">
        <x:f>IF(A66="","",COUNTIF('Options'!$A$5:$A$404,A66))</x:f>
      </x:c>
      <x:c r="H66" s="68" t="str">
        <x:f>IF(A66="","",COUNTIFS('Options'!$A$5:$A$404,A66,'Options'!$D$5:$D$404,"TRUE"))</x:f>
      </x:c>
      <x:c r="I66" s="68" t="str">
        <x:f>IF(COUNTA(A66:F66)=0,"",IF(OR(A66="",B66="",C66="",D66="",E66=""),"Missing required",IF(COUNTIF($A$5:$A$154,A66)&gt;1,"Duplicate challenge ID",IF(COUNTIF('Lessons'!$A$5:$A$84,B66)=0,"Unknown lesson ID",IF(COUNTIF('Challenge Guide'!$A$5:$A$13,D66)=0,"Unknown type",IF(D66="DICTATION",IF(AND(G66=1,H66=1),"Ready","Needs 1 correct option"),IF(D66="REORDER",IF(AND(G66&gt;=2,H66=G66),"Ready","All tiles must be correct"),IF(D66="MATCHING",IF(AND(G66&gt;=2,G66&lt;=12,MOD(G66,2)=0,H66=G66),"Ready","Needs 1-6 correct pairs"),IF(AND(G66&gt;=2,G66&lt;=6,H66=1),"Ready","Needs 2-6 options; 1 correct")))))))))</x:f>
      </x:c>
    </x:row>
    <x:row r="67">
      <x:c r="A67" s="65"/>
      <x:c r="B67" s="65"/>
      <x:c r="C67" s="65"/>
      <x:c r="D67" s="65"/>
      <x:c r="E67" s="65"/>
      <x:c r="F67" s="65"/>
      <x:c r="G67" s="68" t="str">
        <x:f>IF(A67="","",COUNTIF('Options'!$A$5:$A$404,A67))</x:f>
      </x:c>
      <x:c r="H67" s="68" t="str">
        <x:f>IF(A67="","",COUNTIFS('Options'!$A$5:$A$404,A67,'Options'!$D$5:$D$404,"TRUE"))</x:f>
      </x:c>
      <x:c r="I67" s="68" t="str">
        <x:f>IF(COUNTA(A67:F67)=0,"",IF(OR(A67="",B67="",C67="",D67="",E67=""),"Missing required",IF(COUNTIF($A$5:$A$154,A67)&gt;1,"Duplicate challenge ID",IF(COUNTIF('Lessons'!$A$5:$A$84,B67)=0,"Unknown lesson ID",IF(COUNTIF('Challenge Guide'!$A$5:$A$13,D67)=0,"Unknown type",IF(D67="DICTATION",IF(AND(G67=1,H67=1),"Ready","Needs 1 correct option"),IF(D67="REORDER",IF(AND(G67&gt;=2,H67=G67),"Ready","All tiles must be correct"),IF(D67="MATCHING",IF(AND(G67&gt;=2,G67&lt;=12,MOD(G67,2)=0,H67=G67),"Ready","Needs 1-6 correct pairs"),IF(AND(G67&gt;=2,G67&lt;=6,H67=1),"Ready","Needs 2-6 options; 1 correct")))))))))</x:f>
      </x:c>
    </x:row>
    <x:row r="68">
      <x:c r="A68" s="65"/>
      <x:c r="B68" s="65"/>
      <x:c r="C68" s="65"/>
      <x:c r="D68" s="65"/>
      <x:c r="E68" s="65"/>
      <x:c r="F68" s="65"/>
      <x:c r="G68" s="68" t="str">
        <x:f>IF(A68="","",COUNTIF('Options'!$A$5:$A$404,A68))</x:f>
      </x:c>
      <x:c r="H68" s="68" t="str">
        <x:f>IF(A68="","",COUNTIFS('Options'!$A$5:$A$404,A68,'Options'!$D$5:$D$404,"TRUE"))</x:f>
      </x:c>
      <x:c r="I68" s="68" t="str">
        <x:f>IF(COUNTA(A68:F68)=0,"",IF(OR(A68="",B68="",C68="",D68="",E68=""),"Missing required",IF(COUNTIF($A$5:$A$154,A68)&gt;1,"Duplicate challenge ID",IF(COUNTIF('Lessons'!$A$5:$A$84,B68)=0,"Unknown lesson ID",IF(COUNTIF('Challenge Guide'!$A$5:$A$13,D68)=0,"Unknown type",IF(D68="DICTATION",IF(AND(G68=1,H68=1),"Ready","Needs 1 correct option"),IF(D68="REORDER",IF(AND(G68&gt;=2,H68=G68),"Ready","All tiles must be correct"),IF(D68="MATCHING",IF(AND(G68&gt;=2,G68&lt;=12,MOD(G68,2)=0,H68=G68),"Ready","Needs 1-6 correct pairs"),IF(AND(G68&gt;=2,G68&lt;=6,H68=1),"Ready","Needs 2-6 options; 1 correct")))))))))</x:f>
      </x:c>
    </x:row>
    <x:row r="69">
      <x:c r="A69" s="65"/>
      <x:c r="B69" s="65"/>
      <x:c r="C69" s="65"/>
      <x:c r="D69" s="65"/>
      <x:c r="E69" s="65"/>
      <x:c r="F69" s="65"/>
      <x:c r="G69" s="68" t="str">
        <x:f>IF(A69="","",COUNTIF('Options'!$A$5:$A$404,A69))</x:f>
      </x:c>
      <x:c r="H69" s="68" t="str">
        <x:f>IF(A69="","",COUNTIFS('Options'!$A$5:$A$404,A69,'Options'!$D$5:$D$404,"TRUE"))</x:f>
      </x:c>
      <x:c r="I69" s="68" t="str">
        <x:f>IF(COUNTA(A69:F69)=0,"",IF(OR(A69="",B69="",C69="",D69="",E69=""),"Missing required",IF(COUNTIF($A$5:$A$154,A69)&gt;1,"Duplicate challenge ID",IF(COUNTIF('Lessons'!$A$5:$A$84,B69)=0,"Unknown lesson ID",IF(COUNTIF('Challenge Guide'!$A$5:$A$13,D69)=0,"Unknown type",IF(D69="DICTATION",IF(AND(G69=1,H69=1),"Ready","Needs 1 correct option"),IF(D69="REORDER",IF(AND(G69&gt;=2,H69=G69),"Ready","All tiles must be correct"),IF(D69="MATCHING",IF(AND(G69&gt;=2,G69&lt;=12,MOD(G69,2)=0,H69=G69),"Ready","Needs 1-6 correct pairs"),IF(AND(G69&gt;=2,G69&lt;=6,H69=1),"Ready","Needs 2-6 options; 1 correct")))))))))</x:f>
      </x:c>
    </x:row>
    <x:row r="70">
      <x:c r="A70" s="65"/>
      <x:c r="B70" s="65"/>
      <x:c r="C70" s="65"/>
      <x:c r="D70" s="65"/>
      <x:c r="E70" s="65"/>
      <x:c r="F70" s="65"/>
      <x:c r="G70" s="68" t="str">
        <x:f>IF(A70="","",COUNTIF('Options'!$A$5:$A$404,A70))</x:f>
      </x:c>
      <x:c r="H70" s="68" t="str">
        <x:f>IF(A70="","",COUNTIFS('Options'!$A$5:$A$404,A70,'Options'!$D$5:$D$404,"TRUE"))</x:f>
      </x:c>
      <x:c r="I70" s="68" t="str">
        <x:f>IF(COUNTA(A70:F70)=0,"",IF(OR(A70="",B70="",C70="",D70="",E70=""),"Missing required",IF(COUNTIF($A$5:$A$154,A70)&gt;1,"Duplicate challenge ID",IF(COUNTIF('Lessons'!$A$5:$A$84,B70)=0,"Unknown lesson ID",IF(COUNTIF('Challenge Guide'!$A$5:$A$13,D70)=0,"Unknown type",IF(D70="DICTATION",IF(AND(G70=1,H70=1),"Ready","Needs 1 correct option"),IF(D70="REORDER",IF(AND(G70&gt;=2,H70=G70),"Ready","All tiles must be correct"),IF(D70="MATCHING",IF(AND(G70&gt;=2,G70&lt;=12,MOD(G70,2)=0,H70=G70),"Ready","Needs 1-6 correct pairs"),IF(AND(G70&gt;=2,G70&lt;=6,H70=1),"Ready","Needs 2-6 options; 1 correct")))))))))</x:f>
      </x:c>
    </x:row>
    <x:row r="71">
      <x:c r="A71" s="65"/>
      <x:c r="B71" s="65"/>
      <x:c r="C71" s="65"/>
      <x:c r="D71" s="65"/>
      <x:c r="E71" s="65"/>
      <x:c r="F71" s="65"/>
      <x:c r="G71" s="68" t="str">
        <x:f>IF(A71="","",COUNTIF('Options'!$A$5:$A$404,A71))</x:f>
      </x:c>
      <x:c r="H71" s="68" t="str">
        <x:f>IF(A71="","",COUNTIFS('Options'!$A$5:$A$404,A71,'Options'!$D$5:$D$404,"TRUE"))</x:f>
      </x:c>
      <x:c r="I71" s="68" t="str">
        <x:f>IF(COUNTA(A71:F71)=0,"",IF(OR(A71="",B71="",C71="",D71="",E71=""),"Missing required",IF(COUNTIF($A$5:$A$154,A71)&gt;1,"Duplicate challenge ID",IF(COUNTIF('Lessons'!$A$5:$A$84,B71)=0,"Unknown lesson ID",IF(COUNTIF('Challenge Guide'!$A$5:$A$13,D71)=0,"Unknown type",IF(D71="DICTATION",IF(AND(G71=1,H71=1),"Ready","Needs 1 correct option"),IF(D71="REORDER",IF(AND(G71&gt;=2,H71=G71),"Ready","All tiles must be correct"),IF(D71="MATCHING",IF(AND(G71&gt;=2,G71&lt;=12,MOD(G71,2)=0,H71=G71),"Ready","Needs 1-6 correct pairs"),IF(AND(G71&gt;=2,G71&lt;=6,H71=1),"Ready","Needs 2-6 options; 1 correct")))))))))</x:f>
      </x:c>
    </x:row>
    <x:row r="72">
      <x:c r="A72" s="65"/>
      <x:c r="B72" s="65"/>
      <x:c r="C72" s="65"/>
      <x:c r="D72" s="65"/>
      <x:c r="E72" s="65"/>
      <x:c r="F72" s="65"/>
      <x:c r="G72" s="68" t="str">
        <x:f>IF(A72="","",COUNTIF('Options'!$A$5:$A$404,A72))</x:f>
      </x:c>
      <x:c r="H72" s="68" t="str">
        <x:f>IF(A72="","",COUNTIFS('Options'!$A$5:$A$404,A72,'Options'!$D$5:$D$404,"TRUE"))</x:f>
      </x:c>
      <x:c r="I72" s="68" t="str">
        <x:f>IF(COUNTA(A72:F72)=0,"",IF(OR(A72="",B72="",C72="",D72="",E72=""),"Missing required",IF(COUNTIF($A$5:$A$154,A72)&gt;1,"Duplicate challenge ID",IF(COUNTIF('Lessons'!$A$5:$A$84,B72)=0,"Unknown lesson ID",IF(COUNTIF('Challenge Guide'!$A$5:$A$13,D72)=0,"Unknown type",IF(D72="DICTATION",IF(AND(G72=1,H72=1),"Ready","Needs 1 correct option"),IF(D72="REORDER",IF(AND(G72&gt;=2,H72=G72),"Ready","All tiles must be correct"),IF(D72="MATCHING",IF(AND(G72&gt;=2,G72&lt;=12,MOD(G72,2)=0,H72=G72),"Ready","Needs 1-6 correct pairs"),IF(AND(G72&gt;=2,G72&lt;=6,H72=1),"Ready","Needs 2-6 options; 1 correct")))))))))</x:f>
      </x:c>
    </x:row>
    <x:row r="73">
      <x:c r="A73" s="65"/>
      <x:c r="B73" s="65"/>
      <x:c r="C73" s="65"/>
      <x:c r="D73" s="65"/>
      <x:c r="E73" s="65"/>
      <x:c r="F73" s="65"/>
      <x:c r="G73" s="68" t="str">
        <x:f>IF(A73="","",COUNTIF('Options'!$A$5:$A$404,A73))</x:f>
      </x:c>
      <x:c r="H73" s="68" t="str">
        <x:f>IF(A73="","",COUNTIFS('Options'!$A$5:$A$404,A73,'Options'!$D$5:$D$404,"TRUE"))</x:f>
      </x:c>
      <x:c r="I73" s="68" t="str">
        <x:f>IF(COUNTA(A73:F73)=0,"",IF(OR(A73="",B73="",C73="",D73="",E73=""),"Missing required",IF(COUNTIF($A$5:$A$154,A73)&gt;1,"Duplicate challenge ID",IF(COUNTIF('Lessons'!$A$5:$A$84,B73)=0,"Unknown lesson ID",IF(COUNTIF('Challenge Guide'!$A$5:$A$13,D73)=0,"Unknown type",IF(D73="DICTATION",IF(AND(G73=1,H73=1),"Ready","Needs 1 correct option"),IF(D73="REORDER",IF(AND(G73&gt;=2,H73=G73),"Ready","All tiles must be correct"),IF(D73="MATCHING",IF(AND(G73&gt;=2,G73&lt;=12,MOD(G73,2)=0,H73=G73),"Ready","Needs 1-6 correct pairs"),IF(AND(G73&gt;=2,G73&lt;=6,H73=1),"Ready","Needs 2-6 options; 1 correct")))))))))</x:f>
      </x:c>
    </x:row>
    <x:row r="74">
      <x:c r="A74" s="65"/>
      <x:c r="B74" s="65"/>
      <x:c r="C74" s="65"/>
      <x:c r="D74" s="65"/>
      <x:c r="E74" s="65"/>
      <x:c r="F74" s="65"/>
      <x:c r="G74" s="68" t="str">
        <x:f>IF(A74="","",COUNTIF('Options'!$A$5:$A$404,A74))</x:f>
      </x:c>
      <x:c r="H74" s="68" t="str">
        <x:f>IF(A74="","",COUNTIFS('Options'!$A$5:$A$404,A74,'Options'!$D$5:$D$404,"TRUE"))</x:f>
      </x:c>
      <x:c r="I74" s="68" t="str">
        <x:f>IF(COUNTA(A74:F74)=0,"",IF(OR(A74="",B74="",C74="",D74="",E74=""),"Missing required",IF(COUNTIF($A$5:$A$154,A74)&gt;1,"Duplicate challenge ID",IF(COUNTIF('Lessons'!$A$5:$A$84,B74)=0,"Unknown lesson ID",IF(COUNTIF('Challenge Guide'!$A$5:$A$13,D74)=0,"Unknown type",IF(D74="DICTATION",IF(AND(G74=1,H74=1),"Ready","Needs 1 correct option"),IF(D74="REORDER",IF(AND(G74&gt;=2,H74=G74),"Ready","All tiles must be correct"),IF(D74="MATCHING",IF(AND(G74&gt;=2,G74&lt;=12,MOD(G74,2)=0,H74=G74),"Ready","Needs 1-6 correct pairs"),IF(AND(G74&gt;=2,G74&lt;=6,H74=1),"Ready","Needs 2-6 options; 1 correct")))))))))</x:f>
      </x:c>
    </x:row>
    <x:row r="75">
      <x:c r="A75" s="65"/>
      <x:c r="B75" s="65"/>
      <x:c r="C75" s="65"/>
      <x:c r="D75" s="65"/>
      <x:c r="E75" s="65"/>
      <x:c r="F75" s="65"/>
      <x:c r="G75" s="68" t="str">
        <x:f>IF(A75="","",COUNTIF('Options'!$A$5:$A$404,A75))</x:f>
      </x:c>
      <x:c r="H75" s="68" t="str">
        <x:f>IF(A75="","",COUNTIFS('Options'!$A$5:$A$404,A75,'Options'!$D$5:$D$404,"TRUE"))</x:f>
      </x:c>
      <x:c r="I75" s="68" t="str">
        <x:f>IF(COUNTA(A75:F75)=0,"",IF(OR(A75="",B75="",C75="",D75="",E75=""),"Missing required",IF(COUNTIF($A$5:$A$154,A75)&gt;1,"Duplicate challenge ID",IF(COUNTIF('Lessons'!$A$5:$A$84,B75)=0,"Unknown lesson ID",IF(COUNTIF('Challenge Guide'!$A$5:$A$13,D75)=0,"Unknown type",IF(D75="DICTATION",IF(AND(G75=1,H75=1),"Ready","Needs 1 correct option"),IF(D75="REORDER",IF(AND(G75&gt;=2,H75=G75),"Ready","All tiles must be correct"),IF(D75="MATCHING",IF(AND(G75&gt;=2,G75&lt;=12,MOD(G75,2)=0,H75=G75),"Ready","Needs 1-6 correct pairs"),IF(AND(G75&gt;=2,G75&lt;=6,H75=1),"Ready","Needs 2-6 options; 1 correct")))))))))</x:f>
      </x:c>
    </x:row>
    <x:row r="76">
      <x:c r="A76" s="65"/>
      <x:c r="B76" s="65"/>
      <x:c r="C76" s="65"/>
      <x:c r="D76" s="65"/>
      <x:c r="E76" s="65"/>
      <x:c r="F76" s="65"/>
      <x:c r="G76" s="68" t="str">
        <x:f>IF(A76="","",COUNTIF('Options'!$A$5:$A$404,A76))</x:f>
      </x:c>
      <x:c r="H76" s="68" t="str">
        <x:f>IF(A76="","",COUNTIFS('Options'!$A$5:$A$404,A76,'Options'!$D$5:$D$404,"TRUE"))</x:f>
      </x:c>
      <x:c r="I76" s="68" t="str">
        <x:f>IF(COUNTA(A76:F76)=0,"",IF(OR(A76="",B76="",C76="",D76="",E76=""),"Missing required",IF(COUNTIF($A$5:$A$154,A76)&gt;1,"Duplicate challenge ID",IF(COUNTIF('Lessons'!$A$5:$A$84,B76)=0,"Unknown lesson ID",IF(COUNTIF('Challenge Guide'!$A$5:$A$13,D76)=0,"Unknown type",IF(D76="DICTATION",IF(AND(G76=1,H76=1),"Ready","Needs 1 correct option"),IF(D76="REORDER",IF(AND(G76&gt;=2,H76=G76),"Ready","All tiles must be correct"),IF(D76="MATCHING",IF(AND(G76&gt;=2,G76&lt;=12,MOD(G76,2)=0,H76=G76),"Ready","Needs 1-6 correct pairs"),IF(AND(G76&gt;=2,G76&lt;=6,H76=1),"Ready","Needs 2-6 options; 1 correct")))))))))</x:f>
      </x:c>
    </x:row>
    <x:row r="77">
      <x:c r="A77" s="65"/>
      <x:c r="B77" s="65"/>
      <x:c r="C77" s="65"/>
      <x:c r="D77" s="65"/>
      <x:c r="E77" s="65"/>
      <x:c r="F77" s="65"/>
      <x:c r="G77" s="68" t="str">
        <x:f>IF(A77="","",COUNTIF('Options'!$A$5:$A$404,A77))</x:f>
      </x:c>
      <x:c r="H77" s="68" t="str">
        <x:f>IF(A77="","",COUNTIFS('Options'!$A$5:$A$404,A77,'Options'!$D$5:$D$404,"TRUE"))</x:f>
      </x:c>
      <x:c r="I77" s="68" t="str">
        <x:f>IF(COUNTA(A77:F77)=0,"",IF(OR(A77="",B77="",C77="",D77="",E77=""),"Missing required",IF(COUNTIF($A$5:$A$154,A77)&gt;1,"Duplicate challenge ID",IF(COUNTIF('Lessons'!$A$5:$A$84,B77)=0,"Unknown lesson ID",IF(COUNTIF('Challenge Guide'!$A$5:$A$13,D77)=0,"Unknown type",IF(D77="DICTATION",IF(AND(G77=1,H77=1),"Ready","Needs 1 correct option"),IF(D77="REORDER",IF(AND(G77&gt;=2,H77=G77),"Ready","All tiles must be correct"),IF(D77="MATCHING",IF(AND(G77&gt;=2,G77&lt;=12,MOD(G77,2)=0,H77=G77),"Ready","Needs 1-6 correct pairs"),IF(AND(G77&gt;=2,G77&lt;=6,H77=1),"Ready","Needs 2-6 options; 1 correct")))))))))</x:f>
      </x:c>
    </x:row>
    <x:row r="78">
      <x:c r="A78" s="65"/>
      <x:c r="B78" s="65"/>
      <x:c r="C78" s="65"/>
      <x:c r="D78" s="65"/>
      <x:c r="E78" s="65"/>
      <x:c r="F78" s="65"/>
      <x:c r="G78" s="68" t="str">
        <x:f>IF(A78="","",COUNTIF('Options'!$A$5:$A$404,A78))</x:f>
      </x:c>
      <x:c r="H78" s="68" t="str">
        <x:f>IF(A78="","",COUNTIFS('Options'!$A$5:$A$404,A78,'Options'!$D$5:$D$404,"TRUE"))</x:f>
      </x:c>
      <x:c r="I78" s="68" t="str">
        <x:f>IF(COUNTA(A78:F78)=0,"",IF(OR(A78="",B78="",C78="",D78="",E78=""),"Missing required",IF(COUNTIF($A$5:$A$154,A78)&gt;1,"Duplicate challenge ID",IF(COUNTIF('Lessons'!$A$5:$A$84,B78)=0,"Unknown lesson ID",IF(COUNTIF('Challenge Guide'!$A$5:$A$13,D78)=0,"Unknown type",IF(D78="DICTATION",IF(AND(G78=1,H78=1),"Ready","Needs 1 correct option"),IF(D78="REORDER",IF(AND(G78&gt;=2,H78=G78),"Ready","All tiles must be correct"),IF(D78="MATCHING",IF(AND(G78&gt;=2,G78&lt;=12,MOD(G78,2)=0,H78=G78),"Ready","Needs 1-6 correct pairs"),IF(AND(G78&gt;=2,G78&lt;=6,H78=1),"Ready","Needs 2-6 options; 1 correct")))))))))</x:f>
      </x:c>
    </x:row>
    <x:row r="79">
      <x:c r="A79" s="65"/>
      <x:c r="B79" s="65"/>
      <x:c r="C79" s="65"/>
      <x:c r="D79" s="65"/>
      <x:c r="E79" s="65"/>
      <x:c r="F79" s="65"/>
      <x:c r="G79" s="68" t="str">
        <x:f>IF(A79="","",COUNTIF('Options'!$A$5:$A$404,A79))</x:f>
      </x:c>
      <x:c r="H79" s="68" t="str">
        <x:f>IF(A79="","",COUNTIFS('Options'!$A$5:$A$404,A79,'Options'!$D$5:$D$404,"TRUE"))</x:f>
      </x:c>
      <x:c r="I79" s="68" t="str">
        <x:f>IF(COUNTA(A79:F79)=0,"",IF(OR(A79="",B79="",C79="",D79="",E79=""),"Missing required",IF(COUNTIF($A$5:$A$154,A79)&gt;1,"Duplicate challenge ID",IF(COUNTIF('Lessons'!$A$5:$A$84,B79)=0,"Unknown lesson ID",IF(COUNTIF('Challenge Guide'!$A$5:$A$13,D79)=0,"Unknown type",IF(D79="DICTATION",IF(AND(G79=1,H79=1),"Ready","Needs 1 correct option"),IF(D79="REORDER",IF(AND(G79&gt;=2,H79=G79),"Ready","All tiles must be correct"),IF(D79="MATCHING",IF(AND(G79&gt;=2,G79&lt;=12,MOD(G79,2)=0,H79=G79),"Ready","Needs 1-6 correct pairs"),IF(AND(G79&gt;=2,G79&lt;=6,H79=1),"Ready","Needs 2-6 options; 1 correct")))))))))</x:f>
      </x:c>
    </x:row>
    <x:row r="80">
      <x:c r="A80" s="65"/>
      <x:c r="B80" s="65"/>
      <x:c r="C80" s="65"/>
      <x:c r="D80" s="65"/>
      <x:c r="E80" s="65"/>
      <x:c r="F80" s="65"/>
      <x:c r="G80" s="68" t="str">
        <x:f>IF(A80="","",COUNTIF('Options'!$A$5:$A$404,A80))</x:f>
      </x:c>
      <x:c r="H80" s="68" t="str">
        <x:f>IF(A80="","",COUNTIFS('Options'!$A$5:$A$404,A80,'Options'!$D$5:$D$404,"TRUE"))</x:f>
      </x:c>
      <x:c r="I80" s="68" t="str">
        <x:f>IF(COUNTA(A80:F80)=0,"",IF(OR(A80="",B80="",C80="",D80="",E80=""),"Missing required",IF(COUNTIF($A$5:$A$154,A80)&gt;1,"Duplicate challenge ID",IF(COUNTIF('Lessons'!$A$5:$A$84,B80)=0,"Unknown lesson ID",IF(COUNTIF('Challenge Guide'!$A$5:$A$13,D80)=0,"Unknown type",IF(D80="DICTATION",IF(AND(G80=1,H80=1),"Ready","Needs 1 correct option"),IF(D80="REORDER",IF(AND(G80&gt;=2,H80=G80),"Ready","All tiles must be correct"),IF(D80="MATCHING",IF(AND(G80&gt;=2,G80&lt;=12,MOD(G80,2)=0,H80=G80),"Ready","Needs 1-6 correct pairs"),IF(AND(G80&gt;=2,G80&lt;=6,H80=1),"Ready","Needs 2-6 options; 1 correct")))))))))</x:f>
      </x:c>
    </x:row>
    <x:row r="81">
      <x:c r="A81" s="65"/>
      <x:c r="B81" s="65"/>
      <x:c r="C81" s="65"/>
      <x:c r="D81" s="65"/>
      <x:c r="E81" s="65"/>
      <x:c r="F81" s="65"/>
      <x:c r="G81" s="68" t="str">
        <x:f>IF(A81="","",COUNTIF('Options'!$A$5:$A$404,A81))</x:f>
      </x:c>
      <x:c r="H81" s="68" t="str">
        <x:f>IF(A81="","",COUNTIFS('Options'!$A$5:$A$404,A81,'Options'!$D$5:$D$404,"TRUE"))</x:f>
      </x:c>
      <x:c r="I81" s="68" t="str">
        <x:f>IF(COUNTA(A81:F81)=0,"",IF(OR(A81="",B81="",C81="",D81="",E81=""),"Missing required",IF(COUNTIF($A$5:$A$154,A81)&gt;1,"Duplicate challenge ID",IF(COUNTIF('Lessons'!$A$5:$A$84,B81)=0,"Unknown lesson ID",IF(COUNTIF('Challenge Guide'!$A$5:$A$13,D81)=0,"Unknown type",IF(D81="DICTATION",IF(AND(G81=1,H81=1),"Ready","Needs 1 correct option"),IF(D81="REORDER",IF(AND(G81&gt;=2,H81=G81),"Ready","All tiles must be correct"),IF(D81="MATCHING",IF(AND(G81&gt;=2,G81&lt;=12,MOD(G81,2)=0,H81=G81),"Ready","Needs 1-6 correct pairs"),IF(AND(G81&gt;=2,G81&lt;=6,H81=1),"Ready","Needs 2-6 options; 1 correct")))))))))</x:f>
      </x:c>
    </x:row>
    <x:row r="82">
      <x:c r="A82" s="65"/>
      <x:c r="B82" s="65"/>
      <x:c r="C82" s="65"/>
      <x:c r="D82" s="65"/>
      <x:c r="E82" s="65"/>
      <x:c r="F82" s="65"/>
      <x:c r="G82" s="68" t="str">
        <x:f>IF(A82="","",COUNTIF('Options'!$A$5:$A$404,A82))</x:f>
      </x:c>
      <x:c r="H82" s="68" t="str">
        <x:f>IF(A82="","",COUNTIFS('Options'!$A$5:$A$404,A82,'Options'!$D$5:$D$404,"TRUE"))</x:f>
      </x:c>
      <x:c r="I82" s="68" t="str">
        <x:f>IF(COUNTA(A82:F82)=0,"",IF(OR(A82="",B82="",C82="",D82="",E82=""),"Missing required",IF(COUNTIF($A$5:$A$154,A82)&gt;1,"Duplicate challenge ID",IF(COUNTIF('Lessons'!$A$5:$A$84,B82)=0,"Unknown lesson ID",IF(COUNTIF('Challenge Guide'!$A$5:$A$13,D82)=0,"Unknown type",IF(D82="DICTATION",IF(AND(G82=1,H82=1),"Ready","Needs 1 correct option"),IF(D82="REORDER",IF(AND(G82&gt;=2,H82=G82),"Ready","All tiles must be correct"),IF(D82="MATCHING",IF(AND(G82&gt;=2,G82&lt;=12,MOD(G82,2)=0,H82=G82),"Ready","Needs 1-6 correct pairs"),IF(AND(G82&gt;=2,G82&lt;=6,H82=1),"Ready","Needs 2-6 options; 1 correct")))))))))</x:f>
      </x:c>
    </x:row>
    <x:row r="83">
      <x:c r="A83" s="65"/>
      <x:c r="B83" s="65"/>
      <x:c r="C83" s="65"/>
      <x:c r="D83" s="65"/>
      <x:c r="E83" s="65"/>
      <x:c r="F83" s="65"/>
      <x:c r="G83" s="68" t="str">
        <x:f>IF(A83="","",COUNTIF('Options'!$A$5:$A$404,A83))</x:f>
      </x:c>
      <x:c r="H83" s="68" t="str">
        <x:f>IF(A83="","",COUNTIFS('Options'!$A$5:$A$404,A83,'Options'!$D$5:$D$404,"TRUE"))</x:f>
      </x:c>
      <x:c r="I83" s="68" t="str">
        <x:f>IF(COUNTA(A83:F83)=0,"",IF(OR(A83="",B83="",C83="",D83="",E83=""),"Missing required",IF(COUNTIF($A$5:$A$154,A83)&gt;1,"Duplicate challenge ID",IF(COUNTIF('Lessons'!$A$5:$A$84,B83)=0,"Unknown lesson ID",IF(COUNTIF('Challenge Guide'!$A$5:$A$13,D83)=0,"Unknown type",IF(D83="DICTATION",IF(AND(G83=1,H83=1),"Ready","Needs 1 correct option"),IF(D83="REORDER",IF(AND(G83&gt;=2,H83=G83),"Ready","All tiles must be correct"),IF(D83="MATCHING",IF(AND(G83&gt;=2,G83&lt;=12,MOD(G83,2)=0,H83=G83),"Ready","Needs 1-6 correct pairs"),IF(AND(G83&gt;=2,G83&lt;=6,H83=1),"Ready","Needs 2-6 options; 1 correct")))))))))</x:f>
      </x:c>
    </x:row>
    <x:row r="84">
      <x:c r="A84" s="65"/>
      <x:c r="B84" s="65"/>
      <x:c r="C84" s="65"/>
      <x:c r="D84" s="65"/>
      <x:c r="E84" s="65"/>
      <x:c r="F84" s="65"/>
      <x:c r="G84" s="68" t="str">
        <x:f>IF(A84="","",COUNTIF('Options'!$A$5:$A$404,A84))</x:f>
      </x:c>
      <x:c r="H84" s="68" t="str">
        <x:f>IF(A84="","",COUNTIFS('Options'!$A$5:$A$404,A84,'Options'!$D$5:$D$404,"TRUE"))</x:f>
      </x:c>
      <x:c r="I84" s="68" t="str">
        <x:f>IF(COUNTA(A84:F84)=0,"",IF(OR(A84="",B84="",C84="",D84="",E84=""),"Missing required",IF(COUNTIF($A$5:$A$154,A84)&gt;1,"Duplicate challenge ID",IF(COUNTIF('Lessons'!$A$5:$A$84,B84)=0,"Unknown lesson ID",IF(COUNTIF('Challenge Guide'!$A$5:$A$13,D84)=0,"Unknown type",IF(D84="DICTATION",IF(AND(G84=1,H84=1),"Ready","Needs 1 correct option"),IF(D84="REORDER",IF(AND(G84&gt;=2,H84=G84),"Ready","All tiles must be correct"),IF(D84="MATCHING",IF(AND(G84&gt;=2,G84&lt;=12,MOD(G84,2)=0,H84=G84),"Ready","Needs 1-6 correct pairs"),IF(AND(G84&gt;=2,G84&lt;=6,H84=1),"Ready","Needs 2-6 options; 1 correct")))))))))</x:f>
      </x:c>
    </x:row>
    <x:row r="85">
      <x:c r="A85" s="65"/>
      <x:c r="B85" s="65"/>
      <x:c r="C85" s="65"/>
      <x:c r="D85" s="65"/>
      <x:c r="E85" s="65"/>
      <x:c r="F85" s="65"/>
      <x:c r="G85" s="68" t="str">
        <x:f>IF(A85="","",COUNTIF('Options'!$A$5:$A$404,A85))</x:f>
      </x:c>
      <x:c r="H85" s="68" t="str">
        <x:f>IF(A85="","",COUNTIFS('Options'!$A$5:$A$404,A85,'Options'!$D$5:$D$404,"TRUE"))</x:f>
      </x:c>
      <x:c r="I85" s="68" t="str">
        <x:f>IF(COUNTA(A85:F85)=0,"",IF(OR(A85="",B85="",C85="",D85="",E85=""),"Missing required",IF(COUNTIF($A$5:$A$154,A85)&gt;1,"Duplicate challenge ID",IF(COUNTIF('Lessons'!$A$5:$A$84,B85)=0,"Unknown lesson ID",IF(COUNTIF('Challenge Guide'!$A$5:$A$13,D85)=0,"Unknown type",IF(D85="DICTATION",IF(AND(G85=1,H85=1),"Ready","Needs 1 correct option"),IF(D85="REORDER",IF(AND(G85&gt;=2,H85=G85),"Ready","All tiles must be correct"),IF(D85="MATCHING",IF(AND(G85&gt;=2,G85&lt;=12,MOD(G85,2)=0,H85=G85),"Ready","Needs 1-6 correct pairs"),IF(AND(G85&gt;=2,G85&lt;=6,H85=1),"Ready","Needs 2-6 options; 1 correct")))))))))</x:f>
      </x:c>
    </x:row>
    <x:row r="86">
      <x:c r="A86" s="65"/>
      <x:c r="B86" s="65"/>
      <x:c r="C86" s="65"/>
      <x:c r="D86" s="65"/>
      <x:c r="E86" s="65"/>
      <x:c r="F86" s="65"/>
      <x:c r="G86" s="68" t="str">
        <x:f>IF(A86="","",COUNTIF('Options'!$A$5:$A$404,A86))</x:f>
      </x:c>
      <x:c r="H86" s="68" t="str">
        <x:f>IF(A86="","",COUNTIFS('Options'!$A$5:$A$404,A86,'Options'!$D$5:$D$404,"TRUE"))</x:f>
      </x:c>
      <x:c r="I86" s="68" t="str">
        <x:f>IF(COUNTA(A86:F86)=0,"",IF(OR(A86="",B86="",C86="",D86="",E86=""),"Missing required",IF(COUNTIF($A$5:$A$154,A86)&gt;1,"Duplicate challenge ID",IF(COUNTIF('Lessons'!$A$5:$A$84,B86)=0,"Unknown lesson ID",IF(COUNTIF('Challenge Guide'!$A$5:$A$13,D86)=0,"Unknown type",IF(D86="DICTATION",IF(AND(G86=1,H86=1),"Ready","Needs 1 correct option"),IF(D86="REORDER",IF(AND(G86&gt;=2,H86=G86),"Ready","All tiles must be correct"),IF(D86="MATCHING",IF(AND(G86&gt;=2,G86&lt;=12,MOD(G86,2)=0,H86=G86),"Ready","Needs 1-6 correct pairs"),IF(AND(G86&gt;=2,G86&lt;=6,H86=1),"Ready","Needs 2-6 options; 1 correct")))))))))</x:f>
      </x:c>
    </x:row>
    <x:row r="87">
      <x:c r="A87" s="65"/>
      <x:c r="B87" s="65"/>
      <x:c r="C87" s="65"/>
      <x:c r="D87" s="65"/>
      <x:c r="E87" s="65"/>
      <x:c r="F87" s="65"/>
      <x:c r="G87" s="68" t="str">
        <x:f>IF(A87="","",COUNTIF('Options'!$A$5:$A$404,A87))</x:f>
      </x:c>
      <x:c r="H87" s="68" t="str">
        <x:f>IF(A87="","",COUNTIFS('Options'!$A$5:$A$404,A87,'Options'!$D$5:$D$404,"TRUE"))</x:f>
      </x:c>
      <x:c r="I87" s="68" t="str">
        <x:f>IF(COUNTA(A87:F87)=0,"",IF(OR(A87="",B87="",C87="",D87="",E87=""),"Missing required",IF(COUNTIF($A$5:$A$154,A87)&gt;1,"Duplicate challenge ID",IF(COUNTIF('Lessons'!$A$5:$A$84,B87)=0,"Unknown lesson ID",IF(COUNTIF('Challenge Guide'!$A$5:$A$13,D87)=0,"Unknown type",IF(D87="DICTATION",IF(AND(G87=1,H87=1),"Ready","Needs 1 correct option"),IF(D87="REORDER",IF(AND(G87&gt;=2,H87=G87),"Ready","All tiles must be correct"),IF(D87="MATCHING",IF(AND(G87&gt;=2,G87&lt;=12,MOD(G87,2)=0,H87=G87),"Ready","Needs 1-6 correct pairs"),IF(AND(G87&gt;=2,G87&lt;=6,H87=1),"Ready","Needs 2-6 options; 1 correct")))))))))</x:f>
      </x:c>
    </x:row>
    <x:row r="88">
      <x:c r="A88" s="65"/>
      <x:c r="B88" s="65"/>
      <x:c r="C88" s="65"/>
      <x:c r="D88" s="65"/>
      <x:c r="E88" s="65"/>
      <x:c r="F88" s="65"/>
      <x:c r="G88" s="68" t="str">
        <x:f>IF(A88="","",COUNTIF('Options'!$A$5:$A$404,A88))</x:f>
      </x:c>
      <x:c r="H88" s="68" t="str">
        <x:f>IF(A88="","",COUNTIFS('Options'!$A$5:$A$404,A88,'Options'!$D$5:$D$404,"TRUE"))</x:f>
      </x:c>
      <x:c r="I88" s="68" t="str">
        <x:f>IF(COUNTA(A88:F88)=0,"",IF(OR(A88="",B88="",C88="",D88="",E88=""),"Missing required",IF(COUNTIF($A$5:$A$154,A88)&gt;1,"Duplicate challenge ID",IF(COUNTIF('Lessons'!$A$5:$A$84,B88)=0,"Unknown lesson ID",IF(COUNTIF('Challenge Guide'!$A$5:$A$13,D88)=0,"Unknown type",IF(D88="DICTATION",IF(AND(G88=1,H88=1),"Ready","Needs 1 correct option"),IF(D88="REORDER",IF(AND(G88&gt;=2,H88=G88),"Ready","All tiles must be correct"),IF(D88="MATCHING",IF(AND(G88&gt;=2,G88&lt;=12,MOD(G88,2)=0,H88=G88),"Ready","Needs 1-6 correct pairs"),IF(AND(G88&gt;=2,G88&lt;=6,H88=1),"Ready","Needs 2-6 options; 1 correct")))))))))</x:f>
      </x:c>
    </x:row>
    <x:row r="89">
      <x:c r="A89" s="65"/>
      <x:c r="B89" s="65"/>
      <x:c r="C89" s="65"/>
      <x:c r="D89" s="65"/>
      <x:c r="E89" s="65"/>
      <x:c r="F89" s="65"/>
      <x:c r="G89" s="68" t="str">
        <x:f>IF(A89="","",COUNTIF('Options'!$A$5:$A$404,A89))</x:f>
      </x:c>
      <x:c r="H89" s="68" t="str">
        <x:f>IF(A89="","",COUNTIFS('Options'!$A$5:$A$404,A89,'Options'!$D$5:$D$404,"TRUE"))</x:f>
      </x:c>
      <x:c r="I89" s="68" t="str">
        <x:f>IF(COUNTA(A89:F89)=0,"",IF(OR(A89="",B89="",C89="",D89="",E89=""),"Missing required",IF(COUNTIF($A$5:$A$154,A89)&gt;1,"Duplicate challenge ID",IF(COUNTIF('Lessons'!$A$5:$A$84,B89)=0,"Unknown lesson ID",IF(COUNTIF('Challenge Guide'!$A$5:$A$13,D89)=0,"Unknown type",IF(D89="DICTATION",IF(AND(G89=1,H89=1),"Ready","Needs 1 correct option"),IF(D89="REORDER",IF(AND(G89&gt;=2,H89=G89),"Ready","All tiles must be correct"),IF(D89="MATCHING",IF(AND(G89&gt;=2,G89&lt;=12,MOD(G89,2)=0,H89=G89),"Ready","Needs 1-6 correct pairs"),IF(AND(G89&gt;=2,G89&lt;=6,H89=1),"Ready","Needs 2-6 options; 1 correct")))))))))</x:f>
      </x:c>
    </x:row>
    <x:row r="90">
      <x:c r="A90" s="65"/>
      <x:c r="B90" s="65"/>
      <x:c r="C90" s="65"/>
      <x:c r="D90" s="65"/>
      <x:c r="E90" s="65"/>
      <x:c r="F90" s="65"/>
      <x:c r="G90" s="68" t="str">
        <x:f>IF(A90="","",COUNTIF('Options'!$A$5:$A$404,A90))</x:f>
      </x:c>
      <x:c r="H90" s="68" t="str">
        <x:f>IF(A90="","",COUNTIFS('Options'!$A$5:$A$404,A90,'Options'!$D$5:$D$404,"TRUE"))</x:f>
      </x:c>
      <x:c r="I90" s="68" t="str">
        <x:f>IF(COUNTA(A90:F90)=0,"",IF(OR(A90="",B90="",C90="",D90="",E90=""),"Missing required",IF(COUNTIF($A$5:$A$154,A90)&gt;1,"Duplicate challenge ID",IF(COUNTIF('Lessons'!$A$5:$A$84,B90)=0,"Unknown lesson ID",IF(COUNTIF('Challenge Guide'!$A$5:$A$13,D90)=0,"Unknown type",IF(D90="DICTATION",IF(AND(G90=1,H90=1),"Ready","Needs 1 correct option"),IF(D90="REORDER",IF(AND(G90&gt;=2,H90=G90),"Ready","All tiles must be correct"),IF(D90="MATCHING",IF(AND(G90&gt;=2,G90&lt;=12,MOD(G90,2)=0,H90=G90),"Ready","Needs 1-6 correct pairs"),IF(AND(G90&gt;=2,G90&lt;=6,H90=1),"Ready","Needs 2-6 options; 1 correct")))))))))</x:f>
      </x:c>
    </x:row>
    <x:row r="91">
      <x:c r="A91" s="65"/>
      <x:c r="B91" s="65"/>
      <x:c r="C91" s="65"/>
      <x:c r="D91" s="65"/>
      <x:c r="E91" s="65"/>
      <x:c r="F91" s="65"/>
      <x:c r="G91" s="68" t="str">
        <x:f>IF(A91="","",COUNTIF('Options'!$A$5:$A$404,A91))</x:f>
      </x:c>
      <x:c r="H91" s="68" t="str">
        <x:f>IF(A91="","",COUNTIFS('Options'!$A$5:$A$404,A91,'Options'!$D$5:$D$404,"TRUE"))</x:f>
      </x:c>
      <x:c r="I91" s="68" t="str">
        <x:f>IF(COUNTA(A91:F91)=0,"",IF(OR(A91="",B91="",C91="",D91="",E91=""),"Missing required",IF(COUNTIF($A$5:$A$154,A91)&gt;1,"Duplicate challenge ID",IF(COUNTIF('Lessons'!$A$5:$A$84,B91)=0,"Unknown lesson ID",IF(COUNTIF('Challenge Guide'!$A$5:$A$13,D91)=0,"Unknown type",IF(D91="DICTATION",IF(AND(G91=1,H91=1),"Ready","Needs 1 correct option"),IF(D91="REORDER",IF(AND(G91&gt;=2,H91=G91),"Ready","All tiles must be correct"),IF(D91="MATCHING",IF(AND(G91&gt;=2,G91&lt;=12,MOD(G91,2)=0,H91=G91),"Ready","Needs 1-6 correct pairs"),IF(AND(G91&gt;=2,G91&lt;=6,H91=1),"Ready","Needs 2-6 options; 1 correct")))))))))</x:f>
      </x:c>
    </x:row>
    <x:row r="92">
      <x:c r="A92" s="65"/>
      <x:c r="B92" s="65"/>
      <x:c r="C92" s="65"/>
      <x:c r="D92" s="65"/>
      <x:c r="E92" s="65"/>
      <x:c r="F92" s="65"/>
      <x:c r="G92" s="68" t="str">
        <x:f>IF(A92="","",COUNTIF('Options'!$A$5:$A$404,A92))</x:f>
      </x:c>
      <x:c r="H92" s="68" t="str">
        <x:f>IF(A92="","",COUNTIFS('Options'!$A$5:$A$404,A92,'Options'!$D$5:$D$404,"TRUE"))</x:f>
      </x:c>
      <x:c r="I92" s="68" t="str">
        <x:f>IF(COUNTA(A92:F92)=0,"",IF(OR(A92="",B92="",C92="",D92="",E92=""),"Missing required",IF(COUNTIF($A$5:$A$154,A92)&gt;1,"Duplicate challenge ID",IF(COUNTIF('Lessons'!$A$5:$A$84,B92)=0,"Unknown lesson ID",IF(COUNTIF('Challenge Guide'!$A$5:$A$13,D92)=0,"Unknown type",IF(D92="DICTATION",IF(AND(G92=1,H92=1),"Ready","Needs 1 correct option"),IF(D92="REORDER",IF(AND(G92&gt;=2,H92=G92),"Ready","All tiles must be correct"),IF(D92="MATCHING",IF(AND(G92&gt;=2,G92&lt;=12,MOD(G92,2)=0,H92=G92),"Ready","Needs 1-6 correct pairs"),IF(AND(G92&gt;=2,G92&lt;=6,H92=1),"Ready","Needs 2-6 options; 1 correct")))))))))</x:f>
      </x:c>
    </x:row>
    <x:row r="93">
      <x:c r="A93" s="65"/>
      <x:c r="B93" s="65"/>
      <x:c r="C93" s="65"/>
      <x:c r="D93" s="65"/>
      <x:c r="E93" s="65"/>
      <x:c r="F93" s="65"/>
      <x:c r="G93" s="68" t="str">
        <x:f>IF(A93="","",COUNTIF('Options'!$A$5:$A$404,A93))</x:f>
      </x:c>
      <x:c r="H93" s="68" t="str">
        <x:f>IF(A93="","",COUNTIFS('Options'!$A$5:$A$404,A93,'Options'!$D$5:$D$404,"TRUE"))</x:f>
      </x:c>
      <x:c r="I93" s="68" t="str">
        <x:f>IF(COUNTA(A93:F93)=0,"",IF(OR(A93="",B93="",C93="",D93="",E93=""),"Missing required",IF(COUNTIF($A$5:$A$154,A93)&gt;1,"Duplicate challenge ID",IF(COUNTIF('Lessons'!$A$5:$A$84,B93)=0,"Unknown lesson ID",IF(COUNTIF('Challenge Guide'!$A$5:$A$13,D93)=0,"Unknown type",IF(D93="DICTATION",IF(AND(G93=1,H93=1),"Ready","Needs 1 correct option"),IF(D93="REORDER",IF(AND(G93&gt;=2,H93=G93),"Ready","All tiles must be correct"),IF(D93="MATCHING",IF(AND(G93&gt;=2,G93&lt;=12,MOD(G93,2)=0,H93=G93),"Ready","Needs 1-6 correct pairs"),IF(AND(G93&gt;=2,G93&lt;=6,H93=1),"Ready","Needs 2-6 options; 1 correct")))))))))</x:f>
      </x:c>
    </x:row>
    <x:row r="94">
      <x:c r="A94" s="65"/>
      <x:c r="B94" s="65"/>
      <x:c r="C94" s="65"/>
      <x:c r="D94" s="65"/>
      <x:c r="E94" s="65"/>
      <x:c r="F94" s="65"/>
      <x:c r="G94" s="68" t="str">
        <x:f>IF(A94="","",COUNTIF('Options'!$A$5:$A$404,A94))</x:f>
      </x:c>
      <x:c r="H94" s="68" t="str">
        <x:f>IF(A94="","",COUNTIFS('Options'!$A$5:$A$404,A94,'Options'!$D$5:$D$404,"TRUE"))</x:f>
      </x:c>
      <x:c r="I94" s="68" t="str">
        <x:f>IF(COUNTA(A94:F94)=0,"",IF(OR(A94="",B94="",C94="",D94="",E94=""),"Missing required",IF(COUNTIF($A$5:$A$154,A94)&gt;1,"Duplicate challenge ID",IF(COUNTIF('Lessons'!$A$5:$A$84,B94)=0,"Unknown lesson ID",IF(COUNTIF('Challenge Guide'!$A$5:$A$13,D94)=0,"Unknown type",IF(D94="DICTATION",IF(AND(G94=1,H94=1),"Ready","Needs 1 correct option"),IF(D94="REORDER",IF(AND(G94&gt;=2,H94=G94),"Ready","All tiles must be correct"),IF(D94="MATCHING",IF(AND(G94&gt;=2,G94&lt;=12,MOD(G94,2)=0,H94=G94),"Ready","Needs 1-6 correct pairs"),IF(AND(G94&gt;=2,G94&lt;=6,H94=1),"Ready","Needs 2-6 options; 1 correct")))))))))</x:f>
      </x:c>
    </x:row>
    <x:row r="95">
      <x:c r="A95" s="65"/>
      <x:c r="B95" s="65"/>
      <x:c r="C95" s="65"/>
      <x:c r="D95" s="65"/>
      <x:c r="E95" s="65"/>
      <x:c r="F95" s="65"/>
      <x:c r="G95" s="68" t="str">
        <x:f>IF(A95="","",COUNTIF('Options'!$A$5:$A$404,A95))</x:f>
      </x:c>
      <x:c r="H95" s="68" t="str">
        <x:f>IF(A95="","",COUNTIFS('Options'!$A$5:$A$404,A95,'Options'!$D$5:$D$404,"TRUE"))</x:f>
      </x:c>
      <x:c r="I95" s="68" t="str">
        <x:f>IF(COUNTA(A95:F95)=0,"",IF(OR(A95="",B95="",C95="",D95="",E95=""),"Missing required",IF(COUNTIF($A$5:$A$154,A95)&gt;1,"Duplicate challenge ID",IF(COUNTIF('Lessons'!$A$5:$A$84,B95)=0,"Unknown lesson ID",IF(COUNTIF('Challenge Guide'!$A$5:$A$13,D95)=0,"Unknown type",IF(D95="DICTATION",IF(AND(G95=1,H95=1),"Ready","Needs 1 correct option"),IF(D95="REORDER",IF(AND(G95&gt;=2,H95=G95),"Ready","All tiles must be correct"),IF(D95="MATCHING",IF(AND(G95&gt;=2,G95&lt;=12,MOD(G95,2)=0,H95=G95),"Ready","Needs 1-6 correct pairs"),IF(AND(G95&gt;=2,G95&lt;=6,H95=1),"Ready","Needs 2-6 options; 1 correct")))))))))</x:f>
      </x:c>
    </x:row>
    <x:row r="96">
      <x:c r="A96" s="65"/>
      <x:c r="B96" s="65"/>
      <x:c r="C96" s="65"/>
      <x:c r="D96" s="65"/>
      <x:c r="E96" s="65"/>
      <x:c r="F96" s="65"/>
      <x:c r="G96" s="68" t="str">
        <x:f>IF(A96="","",COUNTIF('Options'!$A$5:$A$404,A96))</x:f>
      </x:c>
      <x:c r="H96" s="68" t="str">
        <x:f>IF(A96="","",COUNTIFS('Options'!$A$5:$A$404,A96,'Options'!$D$5:$D$404,"TRUE"))</x:f>
      </x:c>
      <x:c r="I96" s="68" t="str">
        <x:f>IF(COUNTA(A96:F96)=0,"",IF(OR(A96="",B96="",C96="",D96="",E96=""),"Missing required",IF(COUNTIF($A$5:$A$154,A96)&gt;1,"Duplicate challenge ID",IF(COUNTIF('Lessons'!$A$5:$A$84,B96)=0,"Unknown lesson ID",IF(COUNTIF('Challenge Guide'!$A$5:$A$13,D96)=0,"Unknown type",IF(D96="DICTATION",IF(AND(G96=1,H96=1),"Ready","Needs 1 correct option"),IF(D96="REORDER",IF(AND(G96&gt;=2,H96=G96),"Ready","All tiles must be correct"),IF(D96="MATCHING",IF(AND(G96&gt;=2,G96&lt;=12,MOD(G96,2)=0,H96=G96),"Ready","Needs 1-6 correct pairs"),IF(AND(G96&gt;=2,G96&lt;=6,H96=1),"Ready","Needs 2-6 options; 1 correct")))))))))</x:f>
      </x:c>
    </x:row>
    <x:row r="97">
      <x:c r="A97" s="65"/>
      <x:c r="B97" s="65"/>
      <x:c r="C97" s="65"/>
      <x:c r="D97" s="65"/>
      <x:c r="E97" s="65"/>
      <x:c r="F97" s="65"/>
      <x:c r="G97" s="68" t="str">
        <x:f>IF(A97="","",COUNTIF('Options'!$A$5:$A$404,A97))</x:f>
      </x:c>
      <x:c r="H97" s="68" t="str">
        <x:f>IF(A97="","",COUNTIFS('Options'!$A$5:$A$404,A97,'Options'!$D$5:$D$404,"TRUE"))</x:f>
      </x:c>
      <x:c r="I97" s="68" t="str">
        <x:f>IF(COUNTA(A97:F97)=0,"",IF(OR(A97="",B97="",C97="",D97="",E97=""),"Missing required",IF(COUNTIF($A$5:$A$154,A97)&gt;1,"Duplicate challenge ID",IF(COUNTIF('Lessons'!$A$5:$A$84,B97)=0,"Unknown lesson ID",IF(COUNTIF('Challenge Guide'!$A$5:$A$13,D97)=0,"Unknown type",IF(D97="DICTATION",IF(AND(G97=1,H97=1),"Ready","Needs 1 correct option"),IF(D97="REORDER",IF(AND(G97&gt;=2,H97=G97),"Ready","All tiles must be correct"),IF(D97="MATCHING",IF(AND(G97&gt;=2,G97&lt;=12,MOD(G97,2)=0,H97=G97),"Ready","Needs 1-6 correct pairs"),IF(AND(G97&gt;=2,G97&lt;=6,H97=1),"Ready","Needs 2-6 options; 1 correct")))))))))</x:f>
      </x:c>
    </x:row>
    <x:row r="98">
      <x:c r="A98" s="65"/>
      <x:c r="B98" s="65"/>
      <x:c r="C98" s="65"/>
      <x:c r="D98" s="65"/>
      <x:c r="E98" s="65"/>
      <x:c r="F98" s="65"/>
      <x:c r="G98" s="68" t="str">
        <x:f>IF(A98="","",COUNTIF('Options'!$A$5:$A$404,A98))</x:f>
      </x:c>
      <x:c r="H98" s="68" t="str">
        <x:f>IF(A98="","",COUNTIFS('Options'!$A$5:$A$404,A98,'Options'!$D$5:$D$404,"TRUE"))</x:f>
      </x:c>
      <x:c r="I98" s="68" t="str">
        <x:f>IF(COUNTA(A98:F98)=0,"",IF(OR(A98="",B98="",C98="",D98="",E98=""),"Missing required",IF(COUNTIF($A$5:$A$154,A98)&gt;1,"Duplicate challenge ID",IF(COUNTIF('Lessons'!$A$5:$A$84,B98)=0,"Unknown lesson ID",IF(COUNTIF('Challenge Guide'!$A$5:$A$13,D98)=0,"Unknown type",IF(D98="DICTATION",IF(AND(G98=1,H98=1),"Ready","Needs 1 correct option"),IF(D98="REORDER",IF(AND(G98&gt;=2,H98=G98),"Ready","All tiles must be correct"),IF(D98="MATCHING",IF(AND(G98&gt;=2,G98&lt;=12,MOD(G98,2)=0,H98=G98),"Ready","Needs 1-6 correct pairs"),IF(AND(G98&gt;=2,G98&lt;=6,H98=1),"Ready","Needs 2-6 options; 1 correct")))))))))</x:f>
      </x:c>
    </x:row>
    <x:row r="99">
      <x:c r="A99" s="65"/>
      <x:c r="B99" s="65"/>
      <x:c r="C99" s="65"/>
      <x:c r="D99" s="65"/>
      <x:c r="E99" s="65"/>
      <x:c r="F99" s="65"/>
      <x:c r="G99" s="68" t="str">
        <x:f>IF(A99="","",COUNTIF('Options'!$A$5:$A$404,A99))</x:f>
      </x:c>
      <x:c r="H99" s="68" t="str">
        <x:f>IF(A99="","",COUNTIFS('Options'!$A$5:$A$404,A99,'Options'!$D$5:$D$404,"TRUE"))</x:f>
      </x:c>
      <x:c r="I99" s="68" t="str">
        <x:f>IF(COUNTA(A99:F99)=0,"",IF(OR(A99="",B99="",C99="",D99="",E99=""),"Missing required",IF(COUNTIF($A$5:$A$154,A99)&gt;1,"Duplicate challenge ID",IF(COUNTIF('Lessons'!$A$5:$A$84,B99)=0,"Unknown lesson ID",IF(COUNTIF('Challenge Guide'!$A$5:$A$13,D99)=0,"Unknown type",IF(D99="DICTATION",IF(AND(G99=1,H99=1),"Ready","Needs 1 correct option"),IF(D99="REORDER",IF(AND(G99&gt;=2,H99=G99),"Ready","All tiles must be correct"),IF(D99="MATCHING",IF(AND(G99&gt;=2,G99&lt;=12,MOD(G99,2)=0,H99=G99),"Ready","Needs 1-6 correct pairs"),IF(AND(G99&gt;=2,G99&lt;=6,H99=1),"Ready","Needs 2-6 options; 1 correct")))))))))</x:f>
      </x:c>
    </x:row>
    <x:row r="100">
      <x:c r="A100" s="65"/>
      <x:c r="B100" s="65"/>
      <x:c r="C100" s="65"/>
      <x:c r="D100" s="65"/>
      <x:c r="E100" s="65"/>
      <x:c r="F100" s="65"/>
      <x:c r="G100" s="68" t="str">
        <x:f>IF(A100="","",COUNTIF('Options'!$A$5:$A$404,A100))</x:f>
      </x:c>
      <x:c r="H100" s="68" t="str">
        <x:f>IF(A100="","",COUNTIFS('Options'!$A$5:$A$404,A100,'Options'!$D$5:$D$404,"TRUE"))</x:f>
      </x:c>
      <x:c r="I100" s="68" t="str">
        <x:f>IF(COUNTA(A100:F100)=0,"",IF(OR(A100="",B100="",C100="",D100="",E100=""),"Missing required",IF(COUNTIF($A$5:$A$154,A100)&gt;1,"Duplicate challenge ID",IF(COUNTIF('Lessons'!$A$5:$A$84,B100)=0,"Unknown lesson ID",IF(COUNTIF('Challenge Guide'!$A$5:$A$13,D100)=0,"Unknown type",IF(D100="DICTATION",IF(AND(G100=1,H100=1),"Ready","Needs 1 correct option"),IF(D100="REORDER",IF(AND(G100&gt;=2,H100=G100),"Ready","All tiles must be correct"),IF(D100="MATCHING",IF(AND(G100&gt;=2,G100&lt;=12,MOD(G100,2)=0,H100=G100),"Ready","Needs 1-6 correct pairs"),IF(AND(G100&gt;=2,G100&lt;=6,H100=1),"Ready","Needs 2-6 options; 1 correct")))))))))</x:f>
      </x:c>
    </x:row>
    <x:row r="101">
      <x:c r="A101" s="65"/>
      <x:c r="B101" s="65"/>
      <x:c r="C101" s="65"/>
      <x:c r="D101" s="65"/>
      <x:c r="E101" s="65"/>
      <x:c r="F101" s="65"/>
      <x:c r="G101" s="68" t="str">
        <x:f>IF(A101="","",COUNTIF('Options'!$A$5:$A$404,A101))</x:f>
      </x:c>
      <x:c r="H101" s="68" t="str">
        <x:f>IF(A101="","",COUNTIFS('Options'!$A$5:$A$404,A101,'Options'!$D$5:$D$404,"TRUE"))</x:f>
      </x:c>
      <x:c r="I101" s="68" t="str">
        <x:f>IF(COUNTA(A101:F101)=0,"",IF(OR(A101="",B101="",C101="",D101="",E101=""),"Missing required",IF(COUNTIF($A$5:$A$154,A101)&gt;1,"Duplicate challenge ID",IF(COUNTIF('Lessons'!$A$5:$A$84,B101)=0,"Unknown lesson ID",IF(COUNTIF('Challenge Guide'!$A$5:$A$13,D101)=0,"Unknown type",IF(D101="DICTATION",IF(AND(G101=1,H101=1),"Ready","Needs 1 correct option"),IF(D101="REORDER",IF(AND(G101&gt;=2,H101=G101),"Ready","All tiles must be correct"),IF(D101="MATCHING",IF(AND(G101&gt;=2,G101&lt;=12,MOD(G101,2)=0,H101=G101),"Ready","Needs 1-6 correct pairs"),IF(AND(G101&gt;=2,G101&lt;=6,H101=1),"Ready","Needs 2-6 options; 1 correct")))))))))</x:f>
      </x:c>
    </x:row>
    <x:row r="102">
      <x:c r="A102" s="65"/>
      <x:c r="B102" s="65"/>
      <x:c r="C102" s="65"/>
      <x:c r="D102" s="65"/>
      <x:c r="E102" s="65"/>
      <x:c r="F102" s="65"/>
      <x:c r="G102" s="68" t="str">
        <x:f>IF(A102="","",COUNTIF('Options'!$A$5:$A$404,A102))</x:f>
      </x:c>
      <x:c r="H102" s="68" t="str">
        <x:f>IF(A102="","",COUNTIFS('Options'!$A$5:$A$404,A102,'Options'!$D$5:$D$404,"TRUE"))</x:f>
      </x:c>
      <x:c r="I102" s="68" t="str">
        <x:f>IF(COUNTA(A102:F102)=0,"",IF(OR(A102="",B102="",C102="",D102="",E102=""),"Missing required",IF(COUNTIF($A$5:$A$154,A102)&gt;1,"Duplicate challenge ID",IF(COUNTIF('Lessons'!$A$5:$A$84,B102)=0,"Unknown lesson ID",IF(COUNTIF('Challenge Guide'!$A$5:$A$13,D102)=0,"Unknown type",IF(D102="DICTATION",IF(AND(G102=1,H102=1),"Ready","Needs 1 correct option"),IF(D102="REORDER",IF(AND(G102&gt;=2,H102=G102),"Ready","All tiles must be correct"),IF(D102="MATCHING",IF(AND(G102&gt;=2,G102&lt;=12,MOD(G102,2)=0,H102=G102),"Ready","Needs 1-6 correct pairs"),IF(AND(G102&gt;=2,G102&lt;=6,H102=1),"Ready","Needs 2-6 options; 1 correct")))))))))</x:f>
      </x:c>
    </x:row>
    <x:row r="103">
      <x:c r="A103" s="65"/>
      <x:c r="B103" s="65"/>
      <x:c r="C103" s="65"/>
      <x:c r="D103" s="65"/>
      <x:c r="E103" s="65"/>
      <x:c r="F103" s="65"/>
      <x:c r="G103" s="68" t="str">
        <x:f>IF(A103="","",COUNTIF('Options'!$A$5:$A$404,A103))</x:f>
      </x:c>
      <x:c r="H103" s="68" t="str">
        <x:f>IF(A103="","",COUNTIFS('Options'!$A$5:$A$404,A103,'Options'!$D$5:$D$404,"TRUE"))</x:f>
      </x:c>
      <x:c r="I103" s="68" t="str">
        <x:f>IF(COUNTA(A103:F103)=0,"",IF(OR(A103="",B103="",C103="",D103="",E103=""),"Missing required",IF(COUNTIF($A$5:$A$154,A103)&gt;1,"Duplicate challenge ID",IF(COUNTIF('Lessons'!$A$5:$A$84,B103)=0,"Unknown lesson ID",IF(COUNTIF('Challenge Guide'!$A$5:$A$13,D103)=0,"Unknown type",IF(D103="DICTATION",IF(AND(G103=1,H103=1),"Ready","Needs 1 correct option"),IF(D103="REORDER",IF(AND(G103&gt;=2,H103=G103),"Ready","All tiles must be correct"),IF(D103="MATCHING",IF(AND(G103&gt;=2,G103&lt;=12,MOD(G103,2)=0,H103=G103),"Ready","Needs 1-6 correct pairs"),IF(AND(G103&gt;=2,G103&lt;=6,H103=1),"Ready","Needs 2-6 options; 1 correct")))))))))</x:f>
      </x:c>
    </x:row>
    <x:row r="104">
      <x:c r="A104" s="65"/>
      <x:c r="B104" s="65"/>
      <x:c r="C104" s="65"/>
      <x:c r="D104" s="65"/>
      <x:c r="E104" s="65"/>
      <x:c r="F104" s="65"/>
      <x:c r="G104" s="68" t="str">
        <x:f>IF(A104="","",COUNTIF('Options'!$A$5:$A$404,A104))</x:f>
      </x:c>
      <x:c r="H104" s="68" t="str">
        <x:f>IF(A104="","",COUNTIFS('Options'!$A$5:$A$404,A104,'Options'!$D$5:$D$404,"TRUE"))</x:f>
      </x:c>
      <x:c r="I104" s="68" t="str">
        <x:f>IF(COUNTA(A104:F104)=0,"",IF(OR(A104="",B104="",C104="",D104="",E104=""),"Missing required",IF(COUNTIF($A$5:$A$154,A104)&gt;1,"Duplicate challenge ID",IF(COUNTIF('Lessons'!$A$5:$A$84,B104)=0,"Unknown lesson ID",IF(COUNTIF('Challenge Guide'!$A$5:$A$13,D104)=0,"Unknown type",IF(D104="DICTATION",IF(AND(G104=1,H104=1),"Ready","Needs 1 correct option"),IF(D104="REORDER",IF(AND(G104&gt;=2,H104=G104),"Ready","All tiles must be correct"),IF(D104="MATCHING",IF(AND(G104&gt;=2,G104&lt;=12,MOD(G104,2)=0,H104=G104),"Ready","Needs 1-6 correct pairs"),IF(AND(G104&gt;=2,G104&lt;=6,H104=1),"Ready","Needs 2-6 options; 1 correct")))))))))</x:f>
      </x:c>
    </x:row>
    <x:row r="105">
      <x:c r="A105" s="65"/>
      <x:c r="B105" s="65"/>
      <x:c r="C105" s="65"/>
      <x:c r="D105" s="65"/>
      <x:c r="E105" s="65"/>
      <x:c r="F105" s="65"/>
      <x:c r="G105" s="68" t="str">
        <x:f>IF(A105="","",COUNTIF('Options'!$A$5:$A$404,A105))</x:f>
      </x:c>
      <x:c r="H105" s="68" t="str">
        <x:f>IF(A105="","",COUNTIFS('Options'!$A$5:$A$404,A105,'Options'!$D$5:$D$404,"TRUE"))</x:f>
      </x:c>
      <x:c r="I105" s="68" t="str">
        <x:f>IF(COUNTA(A105:F105)=0,"",IF(OR(A105="",B105="",C105="",D105="",E105=""),"Missing required",IF(COUNTIF($A$5:$A$154,A105)&gt;1,"Duplicate challenge ID",IF(COUNTIF('Lessons'!$A$5:$A$84,B105)=0,"Unknown lesson ID",IF(COUNTIF('Challenge Guide'!$A$5:$A$13,D105)=0,"Unknown type",IF(D105="DICTATION",IF(AND(G105=1,H105=1),"Ready","Needs 1 correct option"),IF(D105="REORDER",IF(AND(G105&gt;=2,H105=G105),"Ready","All tiles must be correct"),IF(D105="MATCHING",IF(AND(G105&gt;=2,G105&lt;=12,MOD(G105,2)=0,H105=G105),"Ready","Needs 1-6 correct pairs"),IF(AND(G105&gt;=2,G105&lt;=6,H105=1),"Ready","Needs 2-6 options; 1 correct")))))))))</x:f>
      </x:c>
    </x:row>
    <x:row r="106">
      <x:c r="A106" s="65"/>
      <x:c r="B106" s="65"/>
      <x:c r="C106" s="65"/>
      <x:c r="D106" s="65"/>
      <x:c r="E106" s="65"/>
      <x:c r="F106" s="65"/>
      <x:c r="G106" s="68" t="str">
        <x:f>IF(A106="","",COUNTIF('Options'!$A$5:$A$404,A106))</x:f>
      </x:c>
      <x:c r="H106" s="68" t="str">
        <x:f>IF(A106="","",COUNTIFS('Options'!$A$5:$A$404,A106,'Options'!$D$5:$D$404,"TRUE"))</x:f>
      </x:c>
      <x:c r="I106" s="68" t="str">
        <x:f>IF(COUNTA(A106:F106)=0,"",IF(OR(A106="",B106="",C106="",D106="",E106=""),"Missing required",IF(COUNTIF($A$5:$A$154,A106)&gt;1,"Duplicate challenge ID",IF(COUNTIF('Lessons'!$A$5:$A$84,B106)=0,"Unknown lesson ID",IF(COUNTIF('Challenge Guide'!$A$5:$A$13,D106)=0,"Unknown type",IF(D106="DICTATION",IF(AND(G106=1,H106=1),"Ready","Needs 1 correct option"),IF(D106="REORDER",IF(AND(G106&gt;=2,H106=G106),"Ready","All tiles must be correct"),IF(D106="MATCHING",IF(AND(G106&gt;=2,G106&lt;=12,MOD(G106,2)=0,H106=G106),"Ready","Needs 1-6 correct pairs"),IF(AND(G106&gt;=2,G106&lt;=6,H106=1),"Ready","Needs 2-6 options; 1 correct")))))))))</x:f>
      </x:c>
    </x:row>
    <x:row r="107">
      <x:c r="A107" s="65"/>
      <x:c r="B107" s="65"/>
      <x:c r="C107" s="65"/>
      <x:c r="D107" s="65"/>
      <x:c r="E107" s="65"/>
      <x:c r="F107" s="65"/>
      <x:c r="G107" s="68" t="str">
        <x:f>IF(A107="","",COUNTIF('Options'!$A$5:$A$404,A107))</x:f>
      </x:c>
      <x:c r="H107" s="68" t="str">
        <x:f>IF(A107="","",COUNTIFS('Options'!$A$5:$A$404,A107,'Options'!$D$5:$D$404,"TRUE"))</x:f>
      </x:c>
      <x:c r="I107" s="68" t="str">
        <x:f>IF(COUNTA(A107:F107)=0,"",IF(OR(A107="",B107="",C107="",D107="",E107=""),"Missing required",IF(COUNTIF($A$5:$A$154,A107)&gt;1,"Duplicate challenge ID",IF(COUNTIF('Lessons'!$A$5:$A$84,B107)=0,"Unknown lesson ID",IF(COUNTIF('Challenge Guide'!$A$5:$A$13,D107)=0,"Unknown type",IF(D107="DICTATION",IF(AND(G107=1,H107=1),"Ready","Needs 1 correct option"),IF(D107="REORDER",IF(AND(G107&gt;=2,H107=G107),"Ready","All tiles must be correct"),IF(D107="MATCHING",IF(AND(G107&gt;=2,G107&lt;=12,MOD(G107,2)=0,H107=G107),"Ready","Needs 1-6 correct pairs"),IF(AND(G107&gt;=2,G107&lt;=6,H107=1),"Ready","Needs 2-6 options; 1 correct")))))))))</x:f>
      </x:c>
    </x:row>
    <x:row r="108">
      <x:c r="A108" s="65"/>
      <x:c r="B108" s="65"/>
      <x:c r="C108" s="65"/>
      <x:c r="D108" s="65"/>
      <x:c r="E108" s="65"/>
      <x:c r="F108" s="65"/>
      <x:c r="G108" s="68" t="str">
        <x:f>IF(A108="","",COUNTIF('Options'!$A$5:$A$404,A108))</x:f>
      </x:c>
      <x:c r="H108" s="68" t="str">
        <x:f>IF(A108="","",COUNTIFS('Options'!$A$5:$A$404,A108,'Options'!$D$5:$D$404,"TRUE"))</x:f>
      </x:c>
      <x:c r="I108" s="68" t="str">
        <x:f>IF(COUNTA(A108:F108)=0,"",IF(OR(A108="",B108="",C108="",D108="",E108=""),"Missing required",IF(COUNTIF($A$5:$A$154,A108)&gt;1,"Duplicate challenge ID",IF(COUNTIF('Lessons'!$A$5:$A$84,B108)=0,"Unknown lesson ID",IF(COUNTIF('Challenge Guide'!$A$5:$A$13,D108)=0,"Unknown type",IF(D108="DICTATION",IF(AND(G108=1,H108=1),"Ready","Needs 1 correct option"),IF(D108="REORDER",IF(AND(G108&gt;=2,H108=G108),"Ready","All tiles must be correct"),IF(D108="MATCHING",IF(AND(G108&gt;=2,G108&lt;=12,MOD(G108,2)=0,H108=G108),"Ready","Needs 1-6 correct pairs"),IF(AND(G108&gt;=2,G108&lt;=6,H108=1),"Ready","Needs 2-6 options; 1 correct")))))))))</x:f>
      </x:c>
    </x:row>
    <x:row r="109">
      <x:c r="A109" s="65"/>
      <x:c r="B109" s="65"/>
      <x:c r="C109" s="65"/>
      <x:c r="D109" s="65"/>
      <x:c r="E109" s="65"/>
      <x:c r="F109" s="65"/>
      <x:c r="G109" s="68" t="str">
        <x:f>IF(A109="","",COUNTIF('Options'!$A$5:$A$404,A109))</x:f>
      </x:c>
      <x:c r="H109" s="68" t="str">
        <x:f>IF(A109="","",COUNTIFS('Options'!$A$5:$A$404,A109,'Options'!$D$5:$D$404,"TRUE"))</x:f>
      </x:c>
      <x:c r="I109" s="68" t="str">
        <x:f>IF(COUNTA(A109:F109)=0,"",IF(OR(A109="",B109="",C109="",D109="",E109=""),"Missing required",IF(COUNTIF($A$5:$A$154,A109)&gt;1,"Duplicate challenge ID",IF(COUNTIF('Lessons'!$A$5:$A$84,B109)=0,"Unknown lesson ID",IF(COUNTIF('Challenge Guide'!$A$5:$A$13,D109)=0,"Unknown type",IF(D109="DICTATION",IF(AND(G109=1,H109=1),"Ready","Needs 1 correct option"),IF(D109="REORDER",IF(AND(G109&gt;=2,H109=G109),"Ready","All tiles must be correct"),IF(D109="MATCHING",IF(AND(G109&gt;=2,G109&lt;=12,MOD(G109,2)=0,H109=G109),"Ready","Needs 1-6 correct pairs"),IF(AND(G109&gt;=2,G109&lt;=6,H109=1),"Ready","Needs 2-6 options; 1 correct")))))))))</x:f>
      </x:c>
    </x:row>
    <x:row r="110">
      <x:c r="A110" s="65"/>
      <x:c r="B110" s="65"/>
      <x:c r="C110" s="65"/>
      <x:c r="D110" s="65"/>
      <x:c r="E110" s="65"/>
      <x:c r="F110" s="65"/>
      <x:c r="G110" s="68" t="str">
        <x:f>IF(A110="","",COUNTIF('Options'!$A$5:$A$404,A110))</x:f>
      </x:c>
      <x:c r="H110" s="68" t="str">
        <x:f>IF(A110="","",COUNTIFS('Options'!$A$5:$A$404,A110,'Options'!$D$5:$D$404,"TRUE"))</x:f>
      </x:c>
      <x:c r="I110" s="68" t="str">
        <x:f>IF(COUNTA(A110:F110)=0,"",IF(OR(A110="",B110="",C110="",D110="",E110=""),"Missing required",IF(COUNTIF($A$5:$A$154,A110)&gt;1,"Duplicate challenge ID",IF(COUNTIF('Lessons'!$A$5:$A$84,B110)=0,"Unknown lesson ID",IF(COUNTIF('Challenge Guide'!$A$5:$A$13,D110)=0,"Unknown type",IF(D110="DICTATION",IF(AND(G110=1,H110=1),"Ready","Needs 1 correct option"),IF(D110="REORDER",IF(AND(G110&gt;=2,H110=G110),"Ready","All tiles must be correct"),IF(D110="MATCHING",IF(AND(G110&gt;=2,G110&lt;=12,MOD(G110,2)=0,H110=G110),"Ready","Needs 1-6 correct pairs"),IF(AND(G110&gt;=2,G110&lt;=6,H110=1),"Ready","Needs 2-6 options; 1 correct")))))))))</x:f>
      </x:c>
    </x:row>
    <x:row r="111">
      <x:c r="A111" s="65"/>
      <x:c r="B111" s="65"/>
      <x:c r="C111" s="65"/>
      <x:c r="D111" s="65"/>
      <x:c r="E111" s="65"/>
      <x:c r="F111" s="65"/>
      <x:c r="G111" s="68" t="str">
        <x:f>IF(A111="","",COUNTIF('Options'!$A$5:$A$404,A111))</x:f>
      </x:c>
      <x:c r="H111" s="68" t="str">
        <x:f>IF(A111="","",COUNTIFS('Options'!$A$5:$A$404,A111,'Options'!$D$5:$D$404,"TRUE"))</x:f>
      </x:c>
      <x:c r="I111" s="68" t="str">
        <x:f>IF(COUNTA(A111:F111)=0,"",IF(OR(A111="",B111="",C111="",D111="",E111=""),"Missing required",IF(COUNTIF($A$5:$A$154,A111)&gt;1,"Duplicate challenge ID",IF(COUNTIF('Lessons'!$A$5:$A$84,B111)=0,"Unknown lesson ID",IF(COUNTIF('Challenge Guide'!$A$5:$A$13,D111)=0,"Unknown type",IF(D111="DICTATION",IF(AND(G111=1,H111=1),"Ready","Needs 1 correct option"),IF(D111="REORDER",IF(AND(G111&gt;=2,H111=G111),"Ready","All tiles must be correct"),IF(D111="MATCHING",IF(AND(G111&gt;=2,G111&lt;=12,MOD(G111,2)=0,H111=G111),"Ready","Needs 1-6 correct pairs"),IF(AND(G111&gt;=2,G111&lt;=6,H111=1),"Ready","Needs 2-6 options; 1 correct")))))))))</x:f>
      </x:c>
    </x:row>
    <x:row r="112">
      <x:c r="A112" s="65"/>
      <x:c r="B112" s="65"/>
      <x:c r="C112" s="65"/>
      <x:c r="D112" s="65"/>
      <x:c r="E112" s="65"/>
      <x:c r="F112" s="65"/>
      <x:c r="G112" s="68" t="str">
        <x:f>IF(A112="","",COUNTIF('Options'!$A$5:$A$404,A112))</x:f>
      </x:c>
      <x:c r="H112" s="68" t="str">
        <x:f>IF(A112="","",COUNTIFS('Options'!$A$5:$A$404,A112,'Options'!$D$5:$D$404,"TRUE"))</x:f>
      </x:c>
      <x:c r="I112" s="68" t="str">
        <x:f>IF(COUNTA(A112:F112)=0,"",IF(OR(A112="",B112="",C112="",D112="",E112=""),"Missing required",IF(COUNTIF($A$5:$A$154,A112)&gt;1,"Duplicate challenge ID",IF(COUNTIF('Lessons'!$A$5:$A$84,B112)=0,"Unknown lesson ID",IF(COUNTIF('Challenge Guide'!$A$5:$A$13,D112)=0,"Unknown type",IF(D112="DICTATION",IF(AND(G112=1,H112=1),"Ready","Needs 1 correct option"),IF(D112="REORDER",IF(AND(G112&gt;=2,H112=G112),"Ready","All tiles must be correct"),IF(D112="MATCHING",IF(AND(G112&gt;=2,G112&lt;=12,MOD(G112,2)=0,H112=G112),"Ready","Needs 1-6 correct pairs"),IF(AND(G112&gt;=2,G112&lt;=6,H112=1),"Ready","Needs 2-6 options; 1 correct")))))))))</x:f>
      </x:c>
    </x:row>
    <x:row r="113">
      <x:c r="A113" s="65"/>
      <x:c r="B113" s="65"/>
      <x:c r="C113" s="65"/>
      <x:c r="D113" s="65"/>
      <x:c r="E113" s="65"/>
      <x:c r="F113" s="65"/>
      <x:c r="G113" s="68" t="str">
        <x:f>IF(A113="","",COUNTIF('Options'!$A$5:$A$404,A113))</x:f>
      </x:c>
      <x:c r="H113" s="68" t="str">
        <x:f>IF(A113="","",COUNTIFS('Options'!$A$5:$A$404,A113,'Options'!$D$5:$D$404,"TRUE"))</x:f>
      </x:c>
      <x:c r="I113" s="68" t="str">
        <x:f>IF(COUNTA(A113:F113)=0,"",IF(OR(A113="",B113="",C113="",D113="",E113=""),"Missing required",IF(COUNTIF($A$5:$A$154,A113)&gt;1,"Duplicate challenge ID",IF(COUNTIF('Lessons'!$A$5:$A$84,B113)=0,"Unknown lesson ID",IF(COUNTIF('Challenge Guide'!$A$5:$A$13,D113)=0,"Unknown type",IF(D113="DICTATION",IF(AND(G113=1,H113=1),"Ready","Needs 1 correct option"),IF(D113="REORDER",IF(AND(G113&gt;=2,H113=G113),"Ready","All tiles must be correct"),IF(D113="MATCHING",IF(AND(G113&gt;=2,G113&lt;=12,MOD(G113,2)=0,H113=G113),"Ready","Needs 1-6 correct pairs"),IF(AND(G113&gt;=2,G113&lt;=6,H113=1),"Ready","Needs 2-6 options; 1 correct")))))))))</x:f>
      </x:c>
    </x:row>
    <x:row r="114">
      <x:c r="A114" s="65"/>
      <x:c r="B114" s="65"/>
      <x:c r="C114" s="65"/>
      <x:c r="D114" s="65"/>
      <x:c r="E114" s="65"/>
      <x:c r="F114" s="65"/>
      <x:c r="G114" s="68" t="str">
        <x:f>IF(A114="","",COUNTIF('Options'!$A$5:$A$404,A114))</x:f>
      </x:c>
      <x:c r="H114" s="68" t="str">
        <x:f>IF(A114="","",COUNTIFS('Options'!$A$5:$A$404,A114,'Options'!$D$5:$D$404,"TRUE"))</x:f>
      </x:c>
      <x:c r="I114" s="68" t="str">
        <x:f>IF(COUNTA(A114:F114)=0,"",IF(OR(A114="",B114="",C114="",D114="",E114=""),"Missing required",IF(COUNTIF($A$5:$A$154,A114)&gt;1,"Duplicate challenge ID",IF(COUNTIF('Lessons'!$A$5:$A$84,B114)=0,"Unknown lesson ID",IF(COUNTIF('Challenge Guide'!$A$5:$A$13,D114)=0,"Unknown type",IF(D114="DICTATION",IF(AND(G114=1,H114=1),"Ready","Needs 1 correct option"),IF(D114="REORDER",IF(AND(G114&gt;=2,H114=G114),"Ready","All tiles must be correct"),IF(D114="MATCHING",IF(AND(G114&gt;=2,G114&lt;=12,MOD(G114,2)=0,H114=G114),"Ready","Needs 1-6 correct pairs"),IF(AND(G114&gt;=2,G114&lt;=6,H114=1),"Ready","Needs 2-6 options; 1 correct")))))))))</x:f>
      </x:c>
    </x:row>
    <x:row r="115">
      <x:c r="A115" s="65"/>
      <x:c r="B115" s="65"/>
      <x:c r="C115" s="65"/>
      <x:c r="D115" s="65"/>
      <x:c r="E115" s="65"/>
      <x:c r="F115" s="65"/>
      <x:c r="G115" s="68" t="str">
        <x:f>IF(A115="","",COUNTIF('Options'!$A$5:$A$404,A115))</x:f>
      </x:c>
      <x:c r="H115" s="68" t="str">
        <x:f>IF(A115="","",COUNTIFS('Options'!$A$5:$A$404,A115,'Options'!$D$5:$D$404,"TRUE"))</x:f>
      </x:c>
      <x:c r="I115" s="68" t="str">
        <x:f>IF(COUNTA(A115:F115)=0,"",IF(OR(A115="",B115="",C115="",D115="",E115=""),"Missing required",IF(COUNTIF($A$5:$A$154,A115)&gt;1,"Duplicate challenge ID",IF(COUNTIF('Lessons'!$A$5:$A$84,B115)=0,"Unknown lesson ID",IF(COUNTIF('Challenge Guide'!$A$5:$A$13,D115)=0,"Unknown type",IF(D115="DICTATION",IF(AND(G115=1,H115=1),"Ready","Needs 1 correct option"),IF(D115="REORDER",IF(AND(G115&gt;=2,H115=G115),"Ready","All tiles must be correct"),IF(D115="MATCHING",IF(AND(G115&gt;=2,G115&lt;=12,MOD(G115,2)=0,H115=G115),"Ready","Needs 1-6 correct pairs"),IF(AND(G115&gt;=2,G115&lt;=6,H115=1),"Ready","Needs 2-6 options; 1 correct")))))))))</x:f>
      </x:c>
    </x:row>
    <x:row r="116">
      <x:c r="A116" s="65"/>
      <x:c r="B116" s="65"/>
      <x:c r="C116" s="65"/>
      <x:c r="D116" s="65"/>
      <x:c r="E116" s="65"/>
      <x:c r="F116" s="65"/>
      <x:c r="G116" s="68" t="str">
        <x:f>IF(A116="","",COUNTIF('Options'!$A$5:$A$404,A116))</x:f>
      </x:c>
      <x:c r="H116" s="68" t="str">
        <x:f>IF(A116="","",COUNTIFS('Options'!$A$5:$A$404,A116,'Options'!$D$5:$D$404,"TRUE"))</x:f>
      </x:c>
      <x:c r="I116" s="68" t="str">
        <x:f>IF(COUNTA(A116:F116)=0,"",IF(OR(A116="",B116="",C116="",D116="",E116=""),"Missing required",IF(COUNTIF($A$5:$A$154,A116)&gt;1,"Duplicate challenge ID",IF(COUNTIF('Lessons'!$A$5:$A$84,B116)=0,"Unknown lesson ID",IF(COUNTIF('Challenge Guide'!$A$5:$A$13,D116)=0,"Unknown type",IF(D116="DICTATION",IF(AND(G116=1,H116=1),"Ready","Needs 1 correct option"),IF(D116="REORDER",IF(AND(G116&gt;=2,H116=G116),"Ready","All tiles must be correct"),IF(D116="MATCHING",IF(AND(G116&gt;=2,G116&lt;=12,MOD(G116,2)=0,H116=G116),"Ready","Needs 1-6 correct pairs"),IF(AND(G116&gt;=2,G116&lt;=6,H116=1),"Ready","Needs 2-6 options; 1 correct")))))))))</x:f>
      </x:c>
    </x:row>
    <x:row r="117">
      <x:c r="A117" s="65"/>
      <x:c r="B117" s="65"/>
      <x:c r="C117" s="65"/>
      <x:c r="D117" s="65"/>
      <x:c r="E117" s="65"/>
      <x:c r="F117" s="65"/>
      <x:c r="G117" s="68" t="str">
        <x:f>IF(A117="","",COUNTIF('Options'!$A$5:$A$404,A117))</x:f>
      </x:c>
      <x:c r="H117" s="68" t="str">
        <x:f>IF(A117="","",COUNTIFS('Options'!$A$5:$A$404,A117,'Options'!$D$5:$D$404,"TRUE"))</x:f>
      </x:c>
      <x:c r="I117" s="68" t="str">
        <x:f>IF(COUNTA(A117:F117)=0,"",IF(OR(A117="",B117="",C117="",D117="",E117=""),"Missing required",IF(COUNTIF($A$5:$A$154,A117)&gt;1,"Duplicate challenge ID",IF(COUNTIF('Lessons'!$A$5:$A$84,B117)=0,"Unknown lesson ID",IF(COUNTIF('Challenge Guide'!$A$5:$A$13,D117)=0,"Unknown type",IF(D117="DICTATION",IF(AND(G117=1,H117=1),"Ready","Needs 1 correct option"),IF(D117="REORDER",IF(AND(G117&gt;=2,H117=G117),"Ready","All tiles must be correct"),IF(D117="MATCHING",IF(AND(G117&gt;=2,G117&lt;=12,MOD(G117,2)=0,H117=G117),"Ready","Needs 1-6 correct pairs"),IF(AND(G117&gt;=2,G117&lt;=6,H117=1),"Ready","Needs 2-6 options; 1 correct")))))))))</x:f>
      </x:c>
    </x:row>
    <x:row r="118">
      <x:c r="A118" s="65"/>
      <x:c r="B118" s="65"/>
      <x:c r="C118" s="65"/>
      <x:c r="D118" s="65"/>
      <x:c r="E118" s="65"/>
      <x:c r="F118" s="65"/>
      <x:c r="G118" s="68" t="str">
        <x:f>IF(A118="","",COUNTIF('Options'!$A$5:$A$404,A118))</x:f>
      </x:c>
      <x:c r="H118" s="68" t="str">
        <x:f>IF(A118="","",COUNTIFS('Options'!$A$5:$A$404,A118,'Options'!$D$5:$D$404,"TRUE"))</x:f>
      </x:c>
      <x:c r="I118" s="68" t="str">
        <x:f>IF(COUNTA(A118:F118)=0,"",IF(OR(A118="",B118="",C118="",D118="",E118=""),"Missing required",IF(COUNTIF($A$5:$A$154,A118)&gt;1,"Duplicate challenge ID",IF(COUNTIF('Lessons'!$A$5:$A$84,B118)=0,"Unknown lesson ID",IF(COUNTIF('Challenge Guide'!$A$5:$A$13,D118)=0,"Unknown type",IF(D118="DICTATION",IF(AND(G118=1,H118=1),"Ready","Needs 1 correct option"),IF(D118="REORDER",IF(AND(G118&gt;=2,H118=G118),"Ready","All tiles must be correct"),IF(D118="MATCHING",IF(AND(G118&gt;=2,G118&lt;=12,MOD(G118,2)=0,H118=G118),"Ready","Needs 1-6 correct pairs"),IF(AND(G118&gt;=2,G118&lt;=6,H118=1),"Ready","Needs 2-6 options; 1 correct")))))))))</x:f>
      </x:c>
    </x:row>
    <x:row r="119">
      <x:c r="A119" s="65"/>
      <x:c r="B119" s="65"/>
      <x:c r="C119" s="65"/>
      <x:c r="D119" s="65"/>
      <x:c r="E119" s="65"/>
      <x:c r="F119" s="65"/>
      <x:c r="G119" s="68" t="str">
        <x:f>IF(A119="","",COUNTIF('Options'!$A$5:$A$404,A119))</x:f>
      </x:c>
      <x:c r="H119" s="68" t="str">
        <x:f>IF(A119="","",COUNTIFS('Options'!$A$5:$A$404,A119,'Options'!$D$5:$D$404,"TRUE"))</x:f>
      </x:c>
      <x:c r="I119" s="68" t="str">
        <x:f>IF(COUNTA(A119:F119)=0,"",IF(OR(A119="",B119="",C119="",D119="",E119=""),"Missing required",IF(COUNTIF($A$5:$A$154,A119)&gt;1,"Duplicate challenge ID",IF(COUNTIF('Lessons'!$A$5:$A$84,B119)=0,"Unknown lesson ID",IF(COUNTIF('Challenge Guide'!$A$5:$A$13,D119)=0,"Unknown type",IF(D119="DICTATION",IF(AND(G119=1,H119=1),"Ready","Needs 1 correct option"),IF(D119="REORDER",IF(AND(G119&gt;=2,H119=G119),"Ready","All tiles must be correct"),IF(D119="MATCHING",IF(AND(G119&gt;=2,G119&lt;=12,MOD(G119,2)=0,H119=G119),"Ready","Needs 1-6 correct pairs"),IF(AND(G119&gt;=2,G119&lt;=6,H119=1),"Ready","Needs 2-6 options; 1 correct")))))))))</x:f>
      </x:c>
    </x:row>
    <x:row r="120">
      <x:c r="A120" s="65"/>
      <x:c r="B120" s="65"/>
      <x:c r="C120" s="65"/>
      <x:c r="D120" s="65"/>
      <x:c r="E120" s="65"/>
      <x:c r="F120" s="65"/>
      <x:c r="G120" s="68" t="str">
        <x:f>IF(A120="","",COUNTIF('Options'!$A$5:$A$404,A120))</x:f>
      </x:c>
      <x:c r="H120" s="68" t="str">
        <x:f>IF(A120="","",COUNTIFS('Options'!$A$5:$A$404,A120,'Options'!$D$5:$D$404,"TRUE"))</x:f>
      </x:c>
      <x:c r="I120" s="68" t="str">
        <x:f>IF(COUNTA(A120:F120)=0,"",IF(OR(A120="",B120="",C120="",D120="",E120=""),"Missing required",IF(COUNTIF($A$5:$A$154,A120)&gt;1,"Duplicate challenge ID",IF(COUNTIF('Lessons'!$A$5:$A$84,B120)=0,"Unknown lesson ID",IF(COUNTIF('Challenge Guide'!$A$5:$A$13,D120)=0,"Unknown type",IF(D120="DICTATION",IF(AND(G120=1,H120=1),"Ready","Needs 1 correct option"),IF(D120="REORDER",IF(AND(G120&gt;=2,H120=G120),"Ready","All tiles must be correct"),IF(D120="MATCHING",IF(AND(G120&gt;=2,G120&lt;=12,MOD(G120,2)=0,H120=G120),"Ready","Needs 1-6 correct pairs"),IF(AND(G120&gt;=2,G120&lt;=6,H120=1),"Ready","Needs 2-6 options; 1 correct")))))))))</x:f>
      </x:c>
    </x:row>
    <x:row r="121">
      <x:c r="A121" s="65"/>
      <x:c r="B121" s="65"/>
      <x:c r="C121" s="65"/>
      <x:c r="D121" s="65"/>
      <x:c r="E121" s="65"/>
      <x:c r="F121" s="65"/>
      <x:c r="G121" s="68" t="str">
        <x:f>IF(A121="","",COUNTIF('Options'!$A$5:$A$404,A121))</x:f>
      </x:c>
      <x:c r="H121" s="68" t="str">
        <x:f>IF(A121="","",COUNTIFS('Options'!$A$5:$A$404,A121,'Options'!$D$5:$D$404,"TRUE"))</x:f>
      </x:c>
      <x:c r="I121" s="68" t="str">
        <x:f>IF(COUNTA(A121:F121)=0,"",IF(OR(A121="",B121="",C121="",D121="",E121=""),"Missing required",IF(COUNTIF($A$5:$A$154,A121)&gt;1,"Duplicate challenge ID",IF(COUNTIF('Lessons'!$A$5:$A$84,B121)=0,"Unknown lesson ID",IF(COUNTIF('Challenge Guide'!$A$5:$A$13,D121)=0,"Unknown type",IF(D121="DICTATION",IF(AND(G121=1,H121=1),"Ready","Needs 1 correct option"),IF(D121="REORDER",IF(AND(G121&gt;=2,H121=G121),"Ready","All tiles must be correct"),IF(D121="MATCHING",IF(AND(G121&gt;=2,G121&lt;=12,MOD(G121,2)=0,H121=G121),"Ready","Needs 1-6 correct pairs"),IF(AND(G121&gt;=2,G121&lt;=6,H121=1),"Ready","Needs 2-6 options; 1 correct")))))))))</x:f>
      </x:c>
    </x:row>
    <x:row r="122">
      <x:c r="A122" s="65"/>
      <x:c r="B122" s="65"/>
      <x:c r="C122" s="65"/>
      <x:c r="D122" s="65"/>
      <x:c r="E122" s="65"/>
      <x:c r="F122" s="65"/>
      <x:c r="G122" s="68" t="str">
        <x:f>IF(A122="","",COUNTIF('Options'!$A$5:$A$404,A122))</x:f>
      </x:c>
      <x:c r="H122" s="68" t="str">
        <x:f>IF(A122="","",COUNTIFS('Options'!$A$5:$A$404,A122,'Options'!$D$5:$D$404,"TRUE"))</x:f>
      </x:c>
      <x:c r="I122" s="68" t="str">
        <x:f>IF(COUNTA(A122:F122)=0,"",IF(OR(A122="",B122="",C122="",D122="",E122=""),"Missing required",IF(COUNTIF($A$5:$A$154,A122)&gt;1,"Duplicate challenge ID",IF(COUNTIF('Lessons'!$A$5:$A$84,B122)=0,"Unknown lesson ID",IF(COUNTIF('Challenge Guide'!$A$5:$A$13,D122)=0,"Unknown type",IF(D122="DICTATION",IF(AND(G122=1,H122=1),"Ready","Needs 1 correct option"),IF(D122="REORDER",IF(AND(G122&gt;=2,H122=G122),"Ready","All tiles must be correct"),IF(D122="MATCHING",IF(AND(G122&gt;=2,G122&lt;=12,MOD(G122,2)=0,H122=G122),"Ready","Needs 1-6 correct pairs"),IF(AND(G122&gt;=2,G122&lt;=6,H122=1),"Ready","Needs 2-6 options; 1 correct")))))))))</x:f>
      </x:c>
    </x:row>
    <x:row r="123">
      <x:c r="A123" s="65"/>
      <x:c r="B123" s="65"/>
      <x:c r="C123" s="65"/>
      <x:c r="D123" s="65"/>
      <x:c r="E123" s="65"/>
      <x:c r="F123" s="65"/>
      <x:c r="G123" s="68" t="str">
        <x:f>IF(A123="","",COUNTIF('Options'!$A$5:$A$404,A123))</x:f>
      </x:c>
      <x:c r="H123" s="68" t="str">
        <x:f>IF(A123="","",COUNTIFS('Options'!$A$5:$A$404,A123,'Options'!$D$5:$D$404,"TRUE"))</x:f>
      </x:c>
      <x:c r="I123" s="68" t="str">
        <x:f>IF(COUNTA(A123:F123)=0,"",IF(OR(A123="",B123="",C123="",D123="",E123=""),"Missing required",IF(COUNTIF($A$5:$A$154,A123)&gt;1,"Duplicate challenge ID",IF(COUNTIF('Lessons'!$A$5:$A$84,B123)=0,"Unknown lesson ID",IF(COUNTIF('Challenge Guide'!$A$5:$A$13,D123)=0,"Unknown type",IF(D123="DICTATION",IF(AND(G123=1,H123=1),"Ready","Needs 1 correct option"),IF(D123="REORDER",IF(AND(G123&gt;=2,H123=G123),"Ready","All tiles must be correct"),IF(D123="MATCHING",IF(AND(G123&gt;=2,G123&lt;=12,MOD(G123,2)=0,H123=G123),"Ready","Needs 1-6 correct pairs"),IF(AND(G123&gt;=2,G123&lt;=6,H123=1),"Ready","Needs 2-6 options; 1 correct")))))))))</x:f>
      </x:c>
    </x:row>
    <x:row r="124">
      <x:c r="A124" s="65"/>
      <x:c r="B124" s="65"/>
      <x:c r="C124" s="65"/>
      <x:c r="D124" s="65"/>
      <x:c r="E124" s="65"/>
      <x:c r="F124" s="65"/>
      <x:c r="G124" s="68" t="str">
        <x:f>IF(A124="","",COUNTIF('Options'!$A$5:$A$404,A124))</x:f>
      </x:c>
      <x:c r="H124" s="68" t="str">
        <x:f>IF(A124="","",COUNTIFS('Options'!$A$5:$A$404,A124,'Options'!$D$5:$D$404,"TRUE"))</x:f>
      </x:c>
      <x:c r="I124" s="68" t="str">
        <x:f>IF(COUNTA(A124:F124)=0,"",IF(OR(A124="",B124="",C124="",D124="",E124=""),"Missing required",IF(COUNTIF($A$5:$A$154,A124)&gt;1,"Duplicate challenge ID",IF(COUNTIF('Lessons'!$A$5:$A$84,B124)=0,"Unknown lesson ID",IF(COUNTIF('Challenge Guide'!$A$5:$A$13,D124)=0,"Unknown type",IF(D124="DICTATION",IF(AND(G124=1,H124=1),"Ready","Needs 1 correct option"),IF(D124="REORDER",IF(AND(G124&gt;=2,H124=G124),"Ready","All tiles must be correct"),IF(D124="MATCHING",IF(AND(G124&gt;=2,G124&lt;=12,MOD(G124,2)=0,H124=G124),"Ready","Needs 1-6 correct pairs"),IF(AND(G124&gt;=2,G124&lt;=6,H124=1),"Ready","Needs 2-6 options; 1 correct")))))))))</x:f>
      </x:c>
    </x:row>
    <x:row r="125">
      <x:c r="A125" s="65"/>
      <x:c r="B125" s="65"/>
      <x:c r="C125" s="65"/>
      <x:c r="D125" s="65"/>
      <x:c r="E125" s="65"/>
      <x:c r="F125" s="65"/>
      <x:c r="G125" s="68" t="str">
        <x:f>IF(A125="","",COUNTIF('Options'!$A$5:$A$404,A125))</x:f>
      </x:c>
      <x:c r="H125" s="68" t="str">
        <x:f>IF(A125="","",COUNTIFS('Options'!$A$5:$A$404,A125,'Options'!$D$5:$D$404,"TRUE"))</x:f>
      </x:c>
      <x:c r="I125" s="68" t="str">
        <x:f>IF(COUNTA(A125:F125)=0,"",IF(OR(A125="",B125="",C125="",D125="",E125=""),"Missing required",IF(COUNTIF($A$5:$A$154,A125)&gt;1,"Duplicate challenge ID",IF(COUNTIF('Lessons'!$A$5:$A$84,B125)=0,"Unknown lesson ID",IF(COUNTIF('Challenge Guide'!$A$5:$A$13,D125)=0,"Unknown type",IF(D125="DICTATION",IF(AND(G125=1,H125=1),"Ready","Needs 1 correct option"),IF(D125="REORDER",IF(AND(G125&gt;=2,H125=G125),"Ready","All tiles must be correct"),IF(D125="MATCHING",IF(AND(G125&gt;=2,G125&lt;=12,MOD(G125,2)=0,H125=G125),"Ready","Needs 1-6 correct pairs"),IF(AND(G125&gt;=2,G125&lt;=6,H125=1),"Ready","Needs 2-6 options; 1 correct")))))))))</x:f>
      </x:c>
    </x:row>
    <x:row r="126">
      <x:c r="A126" s="65"/>
      <x:c r="B126" s="65"/>
      <x:c r="C126" s="65"/>
      <x:c r="D126" s="65"/>
      <x:c r="E126" s="65"/>
      <x:c r="F126" s="65"/>
      <x:c r="G126" s="68" t="str">
        <x:f>IF(A126="","",COUNTIF('Options'!$A$5:$A$404,A126))</x:f>
      </x:c>
      <x:c r="H126" s="68" t="str">
        <x:f>IF(A126="","",COUNTIFS('Options'!$A$5:$A$404,A126,'Options'!$D$5:$D$404,"TRUE"))</x:f>
      </x:c>
      <x:c r="I126" s="68" t="str">
        <x:f>IF(COUNTA(A126:F126)=0,"",IF(OR(A126="",B126="",C126="",D126="",E126=""),"Missing required",IF(COUNTIF($A$5:$A$154,A126)&gt;1,"Duplicate challenge ID",IF(COUNTIF('Lessons'!$A$5:$A$84,B126)=0,"Unknown lesson ID",IF(COUNTIF('Challenge Guide'!$A$5:$A$13,D126)=0,"Unknown type",IF(D126="DICTATION",IF(AND(G126=1,H126=1),"Ready","Needs 1 correct option"),IF(D126="REORDER",IF(AND(G126&gt;=2,H126=G126),"Ready","All tiles must be correct"),IF(D126="MATCHING",IF(AND(G126&gt;=2,G126&lt;=12,MOD(G126,2)=0,H126=G126),"Ready","Needs 1-6 correct pairs"),IF(AND(G126&gt;=2,G126&lt;=6,H126=1),"Ready","Needs 2-6 options; 1 correct")))))))))</x:f>
      </x:c>
    </x:row>
    <x:row r="127">
      <x:c r="A127" s="65"/>
      <x:c r="B127" s="65"/>
      <x:c r="C127" s="65"/>
      <x:c r="D127" s="65"/>
      <x:c r="E127" s="65"/>
      <x:c r="F127" s="65"/>
      <x:c r="G127" s="68" t="str">
        <x:f>IF(A127="","",COUNTIF('Options'!$A$5:$A$404,A127))</x:f>
      </x:c>
      <x:c r="H127" s="68" t="str">
        <x:f>IF(A127="","",COUNTIFS('Options'!$A$5:$A$404,A127,'Options'!$D$5:$D$404,"TRUE"))</x:f>
      </x:c>
      <x:c r="I127" s="68" t="str">
        <x:f>IF(COUNTA(A127:F127)=0,"",IF(OR(A127="",B127="",C127="",D127="",E127=""),"Missing required",IF(COUNTIF($A$5:$A$154,A127)&gt;1,"Duplicate challenge ID",IF(COUNTIF('Lessons'!$A$5:$A$84,B127)=0,"Unknown lesson ID",IF(COUNTIF('Challenge Guide'!$A$5:$A$13,D127)=0,"Unknown type",IF(D127="DICTATION",IF(AND(G127=1,H127=1),"Ready","Needs 1 correct option"),IF(D127="REORDER",IF(AND(G127&gt;=2,H127=G127),"Ready","All tiles must be correct"),IF(D127="MATCHING",IF(AND(G127&gt;=2,G127&lt;=12,MOD(G127,2)=0,H127=G127),"Ready","Needs 1-6 correct pairs"),IF(AND(G127&gt;=2,G127&lt;=6,H127=1),"Ready","Needs 2-6 options; 1 correct")))))))))</x:f>
      </x:c>
    </x:row>
    <x:row r="128">
      <x:c r="A128" s="65"/>
      <x:c r="B128" s="65"/>
      <x:c r="C128" s="65"/>
      <x:c r="D128" s="65"/>
      <x:c r="E128" s="65"/>
      <x:c r="F128" s="65"/>
      <x:c r="G128" s="68" t="str">
        <x:f>IF(A128="","",COUNTIF('Options'!$A$5:$A$404,A128))</x:f>
      </x:c>
      <x:c r="H128" s="68" t="str">
        <x:f>IF(A128="","",COUNTIFS('Options'!$A$5:$A$404,A128,'Options'!$D$5:$D$404,"TRUE"))</x:f>
      </x:c>
      <x:c r="I128" s="68" t="str">
        <x:f>IF(COUNTA(A128:F128)=0,"",IF(OR(A128="",B128="",C128="",D128="",E128=""),"Missing required",IF(COUNTIF($A$5:$A$154,A128)&gt;1,"Duplicate challenge ID",IF(COUNTIF('Lessons'!$A$5:$A$84,B128)=0,"Unknown lesson ID",IF(COUNTIF('Challenge Guide'!$A$5:$A$13,D128)=0,"Unknown type",IF(D128="DICTATION",IF(AND(G128=1,H128=1),"Ready","Needs 1 correct option"),IF(D128="REORDER",IF(AND(G128&gt;=2,H128=G128),"Ready","All tiles must be correct"),IF(D128="MATCHING",IF(AND(G128&gt;=2,G128&lt;=12,MOD(G128,2)=0,H128=G128),"Ready","Needs 1-6 correct pairs"),IF(AND(G128&gt;=2,G128&lt;=6,H128=1),"Ready","Needs 2-6 options; 1 correct")))))))))</x:f>
      </x:c>
    </x:row>
    <x:row r="129">
      <x:c r="A129" s="65"/>
      <x:c r="B129" s="65"/>
      <x:c r="C129" s="65"/>
      <x:c r="D129" s="65"/>
      <x:c r="E129" s="65"/>
      <x:c r="F129" s="65"/>
      <x:c r="G129" s="68" t="str">
        <x:f>IF(A129="","",COUNTIF('Options'!$A$5:$A$404,A129))</x:f>
      </x:c>
      <x:c r="H129" s="68" t="str">
        <x:f>IF(A129="","",COUNTIFS('Options'!$A$5:$A$404,A129,'Options'!$D$5:$D$404,"TRUE"))</x:f>
      </x:c>
      <x:c r="I129" s="68" t="str">
        <x:f>IF(COUNTA(A129:F129)=0,"",IF(OR(A129="",B129="",C129="",D129="",E129=""),"Missing required",IF(COUNTIF($A$5:$A$154,A129)&gt;1,"Duplicate challenge ID",IF(COUNTIF('Lessons'!$A$5:$A$84,B129)=0,"Unknown lesson ID",IF(COUNTIF('Challenge Guide'!$A$5:$A$13,D129)=0,"Unknown type",IF(D129="DICTATION",IF(AND(G129=1,H129=1),"Ready","Needs 1 correct option"),IF(D129="REORDER",IF(AND(G129&gt;=2,H129=G129),"Ready","All tiles must be correct"),IF(D129="MATCHING",IF(AND(G129&gt;=2,G129&lt;=12,MOD(G129,2)=0,H129=G129),"Ready","Needs 1-6 correct pairs"),IF(AND(G129&gt;=2,G129&lt;=6,H129=1),"Ready","Needs 2-6 options; 1 correct")))))))))</x:f>
      </x:c>
    </x:row>
    <x:row r="130">
      <x:c r="A130" s="65"/>
      <x:c r="B130" s="65"/>
      <x:c r="C130" s="65"/>
      <x:c r="D130" s="65"/>
      <x:c r="E130" s="65"/>
      <x:c r="F130" s="65"/>
      <x:c r="G130" s="68" t="str">
        <x:f>IF(A130="","",COUNTIF('Options'!$A$5:$A$404,A130))</x:f>
      </x:c>
      <x:c r="H130" s="68" t="str">
        <x:f>IF(A130="","",COUNTIFS('Options'!$A$5:$A$404,A130,'Options'!$D$5:$D$404,"TRUE"))</x:f>
      </x:c>
      <x:c r="I130" s="68" t="str">
        <x:f>IF(COUNTA(A130:F130)=0,"",IF(OR(A130="",B130="",C130="",D130="",E130=""),"Missing required",IF(COUNTIF($A$5:$A$154,A130)&gt;1,"Duplicate challenge ID",IF(COUNTIF('Lessons'!$A$5:$A$84,B130)=0,"Unknown lesson ID",IF(COUNTIF('Challenge Guide'!$A$5:$A$13,D130)=0,"Unknown type",IF(D130="DICTATION",IF(AND(G130=1,H130=1),"Ready","Needs 1 correct option"),IF(D130="REORDER",IF(AND(G130&gt;=2,H130=G130),"Ready","All tiles must be correct"),IF(D130="MATCHING",IF(AND(G130&gt;=2,G130&lt;=12,MOD(G130,2)=0,H130=G130),"Ready","Needs 1-6 correct pairs"),IF(AND(G130&gt;=2,G130&lt;=6,H130=1),"Ready","Needs 2-6 options; 1 correct")))))))))</x:f>
      </x:c>
    </x:row>
    <x:row r="131">
      <x:c r="A131" s="65"/>
      <x:c r="B131" s="65"/>
      <x:c r="C131" s="65"/>
      <x:c r="D131" s="65"/>
      <x:c r="E131" s="65"/>
      <x:c r="F131" s="65"/>
      <x:c r="G131" s="68" t="str">
        <x:f>IF(A131="","",COUNTIF('Options'!$A$5:$A$404,A131))</x:f>
      </x:c>
      <x:c r="H131" s="68" t="str">
        <x:f>IF(A131="","",COUNTIFS('Options'!$A$5:$A$404,A131,'Options'!$D$5:$D$404,"TRUE"))</x:f>
      </x:c>
      <x:c r="I131" s="68" t="str">
        <x:f>IF(COUNTA(A131:F131)=0,"",IF(OR(A131="",B131="",C131="",D131="",E131=""),"Missing required",IF(COUNTIF($A$5:$A$154,A131)&gt;1,"Duplicate challenge ID",IF(COUNTIF('Lessons'!$A$5:$A$84,B131)=0,"Unknown lesson ID",IF(COUNTIF('Challenge Guide'!$A$5:$A$13,D131)=0,"Unknown type",IF(D131="DICTATION",IF(AND(G131=1,H131=1),"Ready","Needs 1 correct option"),IF(D131="REORDER",IF(AND(G131&gt;=2,H131=G131),"Ready","All tiles must be correct"),IF(D131="MATCHING",IF(AND(G131&gt;=2,G131&lt;=12,MOD(G131,2)=0,H131=G131),"Ready","Needs 1-6 correct pairs"),IF(AND(G131&gt;=2,G131&lt;=6,H131=1),"Ready","Needs 2-6 options; 1 correct")))))))))</x:f>
      </x:c>
    </x:row>
    <x:row r="132">
      <x:c r="A132" s="65"/>
      <x:c r="B132" s="65"/>
      <x:c r="C132" s="65"/>
      <x:c r="D132" s="65"/>
      <x:c r="E132" s="65"/>
      <x:c r="F132" s="65"/>
      <x:c r="G132" s="68" t="str">
        <x:f>IF(A132="","",COUNTIF('Options'!$A$5:$A$404,A132))</x:f>
      </x:c>
      <x:c r="H132" s="68" t="str">
        <x:f>IF(A132="","",COUNTIFS('Options'!$A$5:$A$404,A132,'Options'!$D$5:$D$404,"TRUE"))</x:f>
      </x:c>
      <x:c r="I132" s="68" t="str">
        <x:f>IF(COUNTA(A132:F132)=0,"",IF(OR(A132="",B132="",C132="",D132="",E132=""),"Missing required",IF(COUNTIF($A$5:$A$154,A132)&gt;1,"Duplicate challenge ID",IF(COUNTIF('Lessons'!$A$5:$A$84,B132)=0,"Unknown lesson ID",IF(COUNTIF('Challenge Guide'!$A$5:$A$13,D132)=0,"Unknown type",IF(D132="DICTATION",IF(AND(G132=1,H132=1),"Ready","Needs 1 correct option"),IF(D132="REORDER",IF(AND(G132&gt;=2,H132=G132),"Ready","All tiles must be correct"),IF(D132="MATCHING",IF(AND(G132&gt;=2,G132&lt;=12,MOD(G132,2)=0,H132=G132),"Ready","Needs 1-6 correct pairs"),IF(AND(G132&gt;=2,G132&lt;=6,H132=1),"Ready","Needs 2-6 options; 1 correct")))))))))</x:f>
      </x:c>
    </x:row>
    <x:row r="133">
      <x:c r="A133" s="65"/>
      <x:c r="B133" s="65"/>
      <x:c r="C133" s="65"/>
      <x:c r="D133" s="65"/>
      <x:c r="E133" s="65"/>
      <x:c r="F133" s="65"/>
      <x:c r="G133" s="68" t="str">
        <x:f>IF(A133="","",COUNTIF('Options'!$A$5:$A$404,A133))</x:f>
      </x:c>
      <x:c r="H133" s="68" t="str">
        <x:f>IF(A133="","",COUNTIFS('Options'!$A$5:$A$404,A133,'Options'!$D$5:$D$404,"TRUE"))</x:f>
      </x:c>
      <x:c r="I133" s="68" t="str">
        <x:f>IF(COUNTA(A133:F133)=0,"",IF(OR(A133="",B133="",C133="",D133="",E133=""),"Missing required",IF(COUNTIF($A$5:$A$154,A133)&gt;1,"Duplicate challenge ID",IF(COUNTIF('Lessons'!$A$5:$A$84,B133)=0,"Unknown lesson ID",IF(COUNTIF('Challenge Guide'!$A$5:$A$13,D133)=0,"Unknown type",IF(D133="DICTATION",IF(AND(G133=1,H133=1),"Ready","Needs 1 correct option"),IF(D133="REORDER",IF(AND(G133&gt;=2,H133=G133),"Ready","All tiles must be correct"),IF(D133="MATCHING",IF(AND(G133&gt;=2,G133&lt;=12,MOD(G133,2)=0,H133=G133),"Ready","Needs 1-6 correct pairs"),IF(AND(G133&gt;=2,G133&lt;=6,H133=1),"Ready","Needs 2-6 options; 1 correct")))))))))</x:f>
      </x:c>
    </x:row>
    <x:row r="134">
      <x:c r="A134" s="65"/>
      <x:c r="B134" s="65"/>
      <x:c r="C134" s="65"/>
      <x:c r="D134" s="65"/>
      <x:c r="E134" s="65"/>
      <x:c r="F134" s="65"/>
      <x:c r="G134" s="68" t="str">
        <x:f>IF(A134="","",COUNTIF('Options'!$A$5:$A$404,A134))</x:f>
      </x:c>
      <x:c r="H134" s="68" t="str">
        <x:f>IF(A134="","",COUNTIFS('Options'!$A$5:$A$404,A134,'Options'!$D$5:$D$404,"TRUE"))</x:f>
      </x:c>
      <x:c r="I134" s="68" t="str">
        <x:f>IF(COUNTA(A134:F134)=0,"",IF(OR(A134="",B134="",C134="",D134="",E134=""),"Missing required",IF(COUNTIF($A$5:$A$154,A134)&gt;1,"Duplicate challenge ID",IF(COUNTIF('Lessons'!$A$5:$A$84,B134)=0,"Unknown lesson ID",IF(COUNTIF('Challenge Guide'!$A$5:$A$13,D134)=0,"Unknown type",IF(D134="DICTATION",IF(AND(G134=1,H134=1),"Ready","Needs 1 correct option"),IF(D134="REORDER",IF(AND(G134&gt;=2,H134=G134),"Ready","All tiles must be correct"),IF(D134="MATCHING",IF(AND(G134&gt;=2,G134&lt;=12,MOD(G134,2)=0,H134=G134),"Ready","Needs 1-6 correct pairs"),IF(AND(G134&gt;=2,G134&lt;=6,H134=1),"Ready","Needs 2-6 options; 1 correct")))))))))</x:f>
      </x:c>
    </x:row>
    <x:row r="135">
      <x:c r="A135" s="65"/>
      <x:c r="B135" s="65"/>
      <x:c r="C135" s="65"/>
      <x:c r="D135" s="65"/>
      <x:c r="E135" s="65"/>
      <x:c r="F135" s="65"/>
      <x:c r="G135" s="68" t="str">
        <x:f>IF(A135="","",COUNTIF('Options'!$A$5:$A$404,A135))</x:f>
      </x:c>
      <x:c r="H135" s="68" t="str">
        <x:f>IF(A135="","",COUNTIFS('Options'!$A$5:$A$404,A135,'Options'!$D$5:$D$404,"TRUE"))</x:f>
      </x:c>
      <x:c r="I135" s="68" t="str">
        <x:f>IF(COUNTA(A135:F135)=0,"",IF(OR(A135="",B135="",C135="",D135="",E135=""),"Missing required",IF(COUNTIF($A$5:$A$154,A135)&gt;1,"Duplicate challenge ID",IF(COUNTIF('Lessons'!$A$5:$A$84,B135)=0,"Unknown lesson ID",IF(COUNTIF('Challenge Guide'!$A$5:$A$13,D135)=0,"Unknown type",IF(D135="DICTATION",IF(AND(G135=1,H135=1),"Ready","Needs 1 correct option"),IF(D135="REORDER",IF(AND(G135&gt;=2,H135=G135),"Ready","All tiles must be correct"),IF(D135="MATCHING",IF(AND(G135&gt;=2,G135&lt;=12,MOD(G135,2)=0,H135=G135),"Ready","Needs 1-6 correct pairs"),IF(AND(G135&gt;=2,G135&lt;=6,H135=1),"Ready","Needs 2-6 options; 1 correct")))))))))</x:f>
      </x:c>
    </x:row>
    <x:row r="136">
      <x:c r="A136" s="65"/>
      <x:c r="B136" s="65"/>
      <x:c r="C136" s="65"/>
      <x:c r="D136" s="65"/>
      <x:c r="E136" s="65"/>
      <x:c r="F136" s="65"/>
      <x:c r="G136" s="68" t="str">
        <x:f>IF(A136="","",COUNTIF('Options'!$A$5:$A$404,A136))</x:f>
      </x:c>
      <x:c r="H136" s="68" t="str">
        <x:f>IF(A136="","",COUNTIFS('Options'!$A$5:$A$404,A136,'Options'!$D$5:$D$404,"TRUE"))</x:f>
      </x:c>
      <x:c r="I136" s="68" t="str">
        <x:f>IF(COUNTA(A136:F136)=0,"",IF(OR(A136="",B136="",C136="",D136="",E136=""),"Missing required",IF(COUNTIF($A$5:$A$154,A136)&gt;1,"Duplicate challenge ID",IF(COUNTIF('Lessons'!$A$5:$A$84,B136)=0,"Unknown lesson ID",IF(COUNTIF('Challenge Guide'!$A$5:$A$13,D136)=0,"Unknown type",IF(D136="DICTATION",IF(AND(G136=1,H136=1),"Ready","Needs 1 correct option"),IF(D136="REORDER",IF(AND(G136&gt;=2,H136=G136),"Ready","All tiles must be correct"),IF(D136="MATCHING",IF(AND(G136&gt;=2,G136&lt;=12,MOD(G136,2)=0,H136=G136),"Ready","Needs 1-6 correct pairs"),IF(AND(G136&gt;=2,G136&lt;=6,H136=1),"Ready","Needs 2-6 options; 1 correct")))))))))</x:f>
      </x:c>
    </x:row>
    <x:row r="137">
      <x:c r="A137" s="65"/>
      <x:c r="B137" s="65"/>
      <x:c r="C137" s="65"/>
      <x:c r="D137" s="65"/>
      <x:c r="E137" s="65"/>
      <x:c r="F137" s="65"/>
      <x:c r="G137" s="68" t="str">
        <x:f>IF(A137="","",COUNTIF('Options'!$A$5:$A$404,A137))</x:f>
      </x:c>
      <x:c r="H137" s="68" t="str">
        <x:f>IF(A137="","",COUNTIFS('Options'!$A$5:$A$404,A137,'Options'!$D$5:$D$404,"TRUE"))</x:f>
      </x:c>
      <x:c r="I137" s="68" t="str">
        <x:f>IF(COUNTA(A137:F137)=0,"",IF(OR(A137="",B137="",C137="",D137="",E137=""),"Missing required",IF(COUNTIF($A$5:$A$154,A137)&gt;1,"Duplicate challenge ID",IF(COUNTIF('Lessons'!$A$5:$A$84,B137)=0,"Unknown lesson ID",IF(COUNTIF('Challenge Guide'!$A$5:$A$13,D137)=0,"Unknown type",IF(D137="DICTATION",IF(AND(G137=1,H137=1),"Ready","Needs 1 correct option"),IF(D137="REORDER",IF(AND(G137&gt;=2,H137=G137),"Ready","All tiles must be correct"),IF(D137="MATCHING",IF(AND(G137&gt;=2,G137&lt;=12,MOD(G137,2)=0,H137=G137),"Ready","Needs 1-6 correct pairs"),IF(AND(G137&gt;=2,G137&lt;=6,H137=1),"Ready","Needs 2-6 options; 1 correct")))))))))</x:f>
      </x:c>
    </x:row>
    <x:row r="138">
      <x:c r="A138" s="65"/>
      <x:c r="B138" s="65"/>
      <x:c r="C138" s="65"/>
      <x:c r="D138" s="65"/>
      <x:c r="E138" s="65"/>
      <x:c r="F138" s="65"/>
      <x:c r="G138" s="68" t="str">
        <x:f>IF(A138="","",COUNTIF('Options'!$A$5:$A$404,A138))</x:f>
      </x:c>
      <x:c r="H138" s="68" t="str">
        <x:f>IF(A138="","",COUNTIFS('Options'!$A$5:$A$404,A138,'Options'!$D$5:$D$404,"TRUE"))</x:f>
      </x:c>
      <x:c r="I138" s="68" t="str">
        <x:f>IF(COUNTA(A138:F138)=0,"",IF(OR(A138="",B138="",C138="",D138="",E138=""),"Missing required",IF(COUNTIF($A$5:$A$154,A138)&gt;1,"Duplicate challenge ID",IF(COUNTIF('Lessons'!$A$5:$A$84,B138)=0,"Unknown lesson ID",IF(COUNTIF('Challenge Guide'!$A$5:$A$13,D138)=0,"Unknown type",IF(D138="DICTATION",IF(AND(G138=1,H138=1),"Ready","Needs 1 correct option"),IF(D138="REORDER",IF(AND(G138&gt;=2,H138=G138),"Ready","All tiles must be correct"),IF(D138="MATCHING",IF(AND(G138&gt;=2,G138&lt;=12,MOD(G138,2)=0,H138=G138),"Ready","Needs 1-6 correct pairs"),IF(AND(G138&gt;=2,G138&lt;=6,H138=1),"Ready","Needs 2-6 options; 1 correct")))))))))</x:f>
      </x:c>
    </x:row>
    <x:row r="139">
      <x:c r="A139" s="65"/>
      <x:c r="B139" s="65"/>
      <x:c r="C139" s="65"/>
      <x:c r="D139" s="65"/>
      <x:c r="E139" s="65"/>
      <x:c r="F139" s="65"/>
      <x:c r="G139" s="68" t="str">
        <x:f>IF(A139="","",COUNTIF('Options'!$A$5:$A$404,A139))</x:f>
      </x:c>
      <x:c r="H139" s="68" t="str">
        <x:f>IF(A139="","",COUNTIFS('Options'!$A$5:$A$404,A139,'Options'!$D$5:$D$404,"TRUE"))</x:f>
      </x:c>
      <x:c r="I139" s="68" t="str">
        <x:f>IF(COUNTA(A139:F139)=0,"",IF(OR(A139="",B139="",C139="",D139="",E139=""),"Missing required",IF(COUNTIF($A$5:$A$154,A139)&gt;1,"Duplicate challenge ID",IF(COUNTIF('Lessons'!$A$5:$A$84,B139)=0,"Unknown lesson ID",IF(COUNTIF('Challenge Guide'!$A$5:$A$13,D139)=0,"Unknown type",IF(D139="DICTATION",IF(AND(G139=1,H139=1),"Ready","Needs 1 correct option"),IF(D139="REORDER",IF(AND(G139&gt;=2,H139=G139),"Ready","All tiles must be correct"),IF(D139="MATCHING",IF(AND(G139&gt;=2,G139&lt;=12,MOD(G139,2)=0,H139=G139),"Ready","Needs 1-6 correct pairs"),IF(AND(G139&gt;=2,G139&lt;=6,H139=1),"Ready","Needs 2-6 options; 1 correct")))))))))</x:f>
      </x:c>
    </x:row>
    <x:row r="140">
      <x:c r="A140" s="65"/>
      <x:c r="B140" s="65"/>
      <x:c r="C140" s="65"/>
      <x:c r="D140" s="65"/>
      <x:c r="E140" s="65"/>
      <x:c r="F140" s="65"/>
      <x:c r="G140" s="68" t="str">
        <x:f>IF(A140="","",COUNTIF('Options'!$A$5:$A$404,A140))</x:f>
      </x:c>
      <x:c r="H140" s="68" t="str">
        <x:f>IF(A140="","",COUNTIFS('Options'!$A$5:$A$404,A140,'Options'!$D$5:$D$404,"TRUE"))</x:f>
      </x:c>
      <x:c r="I140" s="68" t="str">
        <x:f>IF(COUNTA(A140:F140)=0,"",IF(OR(A140="",B140="",C140="",D140="",E140=""),"Missing required",IF(COUNTIF($A$5:$A$154,A140)&gt;1,"Duplicate challenge ID",IF(COUNTIF('Lessons'!$A$5:$A$84,B140)=0,"Unknown lesson ID",IF(COUNTIF('Challenge Guide'!$A$5:$A$13,D140)=0,"Unknown type",IF(D140="DICTATION",IF(AND(G140=1,H140=1),"Ready","Needs 1 correct option"),IF(D140="REORDER",IF(AND(G140&gt;=2,H140=G140),"Ready","All tiles must be correct"),IF(D140="MATCHING",IF(AND(G140&gt;=2,G140&lt;=12,MOD(G140,2)=0,H140=G140),"Ready","Needs 1-6 correct pairs"),IF(AND(G140&gt;=2,G140&lt;=6,H140=1),"Ready","Needs 2-6 options; 1 correct")))))))))</x:f>
      </x:c>
    </x:row>
    <x:row r="141">
      <x:c r="A141" s="65"/>
      <x:c r="B141" s="65"/>
      <x:c r="C141" s="65"/>
      <x:c r="D141" s="65"/>
      <x:c r="E141" s="65"/>
      <x:c r="F141" s="65"/>
      <x:c r="G141" s="68" t="str">
        <x:f>IF(A141="","",COUNTIF('Options'!$A$5:$A$404,A141))</x:f>
      </x:c>
      <x:c r="H141" s="68" t="str">
        <x:f>IF(A141="","",COUNTIFS('Options'!$A$5:$A$404,A141,'Options'!$D$5:$D$404,"TRUE"))</x:f>
      </x:c>
      <x:c r="I141" s="68" t="str">
        <x:f>IF(COUNTA(A141:F141)=0,"",IF(OR(A141="",B141="",C141="",D141="",E141=""),"Missing required",IF(COUNTIF($A$5:$A$154,A141)&gt;1,"Duplicate challenge ID",IF(COUNTIF('Lessons'!$A$5:$A$84,B141)=0,"Unknown lesson ID",IF(COUNTIF('Challenge Guide'!$A$5:$A$13,D141)=0,"Unknown type",IF(D141="DICTATION",IF(AND(G141=1,H141=1),"Ready","Needs 1 correct option"),IF(D141="REORDER",IF(AND(G141&gt;=2,H141=G141),"Ready","All tiles must be correct"),IF(D141="MATCHING",IF(AND(G141&gt;=2,G141&lt;=12,MOD(G141,2)=0,H141=G141),"Ready","Needs 1-6 correct pairs"),IF(AND(G141&gt;=2,G141&lt;=6,H141=1),"Ready","Needs 2-6 options; 1 correct")))))))))</x:f>
      </x:c>
    </x:row>
    <x:row r="142">
      <x:c r="A142" s="65"/>
      <x:c r="B142" s="65"/>
      <x:c r="C142" s="65"/>
      <x:c r="D142" s="65"/>
      <x:c r="E142" s="65"/>
      <x:c r="F142" s="65"/>
      <x:c r="G142" s="68" t="str">
        <x:f>IF(A142="","",COUNTIF('Options'!$A$5:$A$404,A142))</x:f>
      </x:c>
      <x:c r="H142" s="68" t="str">
        <x:f>IF(A142="","",COUNTIFS('Options'!$A$5:$A$404,A142,'Options'!$D$5:$D$404,"TRUE"))</x:f>
      </x:c>
      <x:c r="I142" s="68" t="str">
        <x:f>IF(COUNTA(A142:F142)=0,"",IF(OR(A142="",B142="",C142="",D142="",E142=""),"Missing required",IF(COUNTIF($A$5:$A$154,A142)&gt;1,"Duplicate challenge ID",IF(COUNTIF('Lessons'!$A$5:$A$84,B142)=0,"Unknown lesson ID",IF(COUNTIF('Challenge Guide'!$A$5:$A$13,D142)=0,"Unknown type",IF(D142="DICTATION",IF(AND(G142=1,H142=1),"Ready","Needs 1 correct option"),IF(D142="REORDER",IF(AND(G142&gt;=2,H142=G142),"Ready","All tiles must be correct"),IF(D142="MATCHING",IF(AND(G142&gt;=2,G142&lt;=12,MOD(G142,2)=0,H142=G142),"Ready","Needs 1-6 correct pairs"),IF(AND(G142&gt;=2,G142&lt;=6,H142=1),"Ready","Needs 2-6 options; 1 correct")))))))))</x:f>
      </x:c>
    </x:row>
    <x:row r="143">
      <x:c r="A143" s="65"/>
      <x:c r="B143" s="65"/>
      <x:c r="C143" s="65"/>
      <x:c r="D143" s="65"/>
      <x:c r="E143" s="65"/>
      <x:c r="F143" s="65"/>
      <x:c r="G143" s="68" t="str">
        <x:f>IF(A143="","",COUNTIF('Options'!$A$5:$A$404,A143))</x:f>
      </x:c>
      <x:c r="H143" s="68" t="str">
        <x:f>IF(A143="","",COUNTIFS('Options'!$A$5:$A$404,A143,'Options'!$D$5:$D$404,"TRUE"))</x:f>
      </x:c>
      <x:c r="I143" s="68" t="str">
        <x:f>IF(COUNTA(A143:F143)=0,"",IF(OR(A143="",B143="",C143="",D143="",E143=""),"Missing required",IF(COUNTIF($A$5:$A$154,A143)&gt;1,"Duplicate challenge ID",IF(COUNTIF('Lessons'!$A$5:$A$84,B143)=0,"Unknown lesson ID",IF(COUNTIF('Challenge Guide'!$A$5:$A$13,D143)=0,"Unknown type",IF(D143="DICTATION",IF(AND(G143=1,H143=1),"Ready","Needs 1 correct option"),IF(D143="REORDER",IF(AND(G143&gt;=2,H143=G143),"Ready","All tiles must be correct"),IF(D143="MATCHING",IF(AND(G143&gt;=2,G143&lt;=12,MOD(G143,2)=0,H143=G143),"Ready","Needs 1-6 correct pairs"),IF(AND(G143&gt;=2,G143&lt;=6,H143=1),"Ready","Needs 2-6 options; 1 correct")))))))))</x:f>
      </x:c>
    </x:row>
    <x:row r="144">
      <x:c r="A144" s="65"/>
      <x:c r="B144" s="65"/>
      <x:c r="C144" s="65"/>
      <x:c r="D144" s="65"/>
      <x:c r="E144" s="65"/>
      <x:c r="F144" s="65"/>
      <x:c r="G144" s="68" t="str">
        <x:f>IF(A144="","",COUNTIF('Options'!$A$5:$A$404,A144))</x:f>
      </x:c>
      <x:c r="H144" s="68" t="str">
        <x:f>IF(A144="","",COUNTIFS('Options'!$A$5:$A$404,A144,'Options'!$D$5:$D$404,"TRUE"))</x:f>
      </x:c>
      <x:c r="I144" s="68" t="str">
        <x:f>IF(COUNTA(A144:F144)=0,"",IF(OR(A144="",B144="",C144="",D144="",E144=""),"Missing required",IF(COUNTIF($A$5:$A$154,A144)&gt;1,"Duplicate challenge ID",IF(COUNTIF('Lessons'!$A$5:$A$84,B144)=0,"Unknown lesson ID",IF(COUNTIF('Challenge Guide'!$A$5:$A$13,D144)=0,"Unknown type",IF(D144="DICTATION",IF(AND(G144=1,H144=1),"Ready","Needs 1 correct option"),IF(D144="REORDER",IF(AND(G144&gt;=2,H144=G144),"Ready","All tiles must be correct"),IF(D144="MATCHING",IF(AND(G144&gt;=2,G144&lt;=12,MOD(G144,2)=0,H144=G144),"Ready","Needs 1-6 correct pairs"),IF(AND(G144&gt;=2,G144&lt;=6,H144=1),"Ready","Needs 2-6 options; 1 correct")))))))))</x:f>
      </x:c>
    </x:row>
    <x:row r="145">
      <x:c r="A145" s="65"/>
      <x:c r="B145" s="65"/>
      <x:c r="C145" s="65"/>
      <x:c r="D145" s="65"/>
      <x:c r="E145" s="65"/>
      <x:c r="F145" s="65"/>
      <x:c r="G145" s="68" t="str">
        <x:f>IF(A145="","",COUNTIF('Options'!$A$5:$A$404,A145))</x:f>
      </x:c>
      <x:c r="H145" s="68" t="str">
        <x:f>IF(A145="","",COUNTIFS('Options'!$A$5:$A$404,A145,'Options'!$D$5:$D$404,"TRUE"))</x:f>
      </x:c>
      <x:c r="I145" s="68" t="str">
        <x:f>IF(COUNTA(A145:F145)=0,"",IF(OR(A145="",B145="",C145="",D145="",E145=""),"Missing required",IF(COUNTIF($A$5:$A$154,A145)&gt;1,"Duplicate challenge ID",IF(COUNTIF('Lessons'!$A$5:$A$84,B145)=0,"Unknown lesson ID",IF(COUNTIF('Challenge Guide'!$A$5:$A$13,D145)=0,"Unknown type",IF(D145="DICTATION",IF(AND(G145=1,H145=1),"Ready","Needs 1 correct option"),IF(D145="REORDER",IF(AND(G145&gt;=2,H145=G145),"Ready","All tiles must be correct"),IF(D145="MATCHING",IF(AND(G145&gt;=2,G145&lt;=12,MOD(G145,2)=0,H145=G145),"Ready","Needs 1-6 correct pairs"),IF(AND(G145&gt;=2,G145&lt;=6,H145=1),"Ready","Needs 2-6 options; 1 correct")))))))))</x:f>
      </x:c>
    </x:row>
    <x:row r="146">
      <x:c r="A146" s="65"/>
      <x:c r="B146" s="65"/>
      <x:c r="C146" s="65"/>
      <x:c r="D146" s="65"/>
      <x:c r="E146" s="65"/>
      <x:c r="F146" s="65"/>
      <x:c r="G146" s="68" t="str">
        <x:f>IF(A146="","",COUNTIF('Options'!$A$5:$A$404,A146))</x:f>
      </x:c>
      <x:c r="H146" s="68" t="str">
        <x:f>IF(A146="","",COUNTIFS('Options'!$A$5:$A$404,A146,'Options'!$D$5:$D$404,"TRUE"))</x:f>
      </x:c>
      <x:c r="I146" s="68" t="str">
        <x:f>IF(COUNTA(A146:F146)=0,"",IF(OR(A146="",B146="",C146="",D146="",E146=""),"Missing required",IF(COUNTIF($A$5:$A$154,A146)&gt;1,"Duplicate challenge ID",IF(COUNTIF('Lessons'!$A$5:$A$84,B146)=0,"Unknown lesson ID",IF(COUNTIF('Challenge Guide'!$A$5:$A$13,D146)=0,"Unknown type",IF(D146="DICTATION",IF(AND(G146=1,H146=1),"Ready","Needs 1 correct option"),IF(D146="REORDER",IF(AND(G146&gt;=2,H146=G146),"Ready","All tiles must be correct"),IF(D146="MATCHING",IF(AND(G146&gt;=2,G146&lt;=12,MOD(G146,2)=0,H146=G146),"Ready","Needs 1-6 correct pairs"),IF(AND(G146&gt;=2,G146&lt;=6,H146=1),"Ready","Needs 2-6 options; 1 correct")))))))))</x:f>
      </x:c>
    </x:row>
    <x:row r="147">
      <x:c r="A147" s="65"/>
      <x:c r="B147" s="65"/>
      <x:c r="C147" s="65"/>
      <x:c r="D147" s="65"/>
      <x:c r="E147" s="65"/>
      <x:c r="F147" s="65"/>
      <x:c r="G147" s="68" t="str">
        <x:f>IF(A147="","",COUNTIF('Options'!$A$5:$A$404,A147))</x:f>
      </x:c>
      <x:c r="H147" s="68" t="str">
        <x:f>IF(A147="","",COUNTIFS('Options'!$A$5:$A$404,A147,'Options'!$D$5:$D$404,"TRUE"))</x:f>
      </x:c>
      <x:c r="I147" s="68" t="str">
        <x:f>IF(COUNTA(A147:F147)=0,"",IF(OR(A147="",B147="",C147="",D147="",E147=""),"Missing required",IF(COUNTIF($A$5:$A$154,A147)&gt;1,"Duplicate challenge ID",IF(COUNTIF('Lessons'!$A$5:$A$84,B147)=0,"Unknown lesson ID",IF(COUNTIF('Challenge Guide'!$A$5:$A$13,D147)=0,"Unknown type",IF(D147="DICTATION",IF(AND(G147=1,H147=1),"Ready","Needs 1 correct option"),IF(D147="REORDER",IF(AND(G147&gt;=2,H147=G147),"Ready","All tiles must be correct"),IF(D147="MATCHING",IF(AND(G147&gt;=2,G147&lt;=12,MOD(G147,2)=0,H147=G147),"Ready","Needs 1-6 correct pairs"),IF(AND(G147&gt;=2,G147&lt;=6,H147=1),"Ready","Needs 2-6 options; 1 correct")))))))))</x:f>
      </x:c>
    </x:row>
    <x:row r="148">
      <x:c r="A148" s="65"/>
      <x:c r="B148" s="65"/>
      <x:c r="C148" s="65"/>
      <x:c r="D148" s="65"/>
      <x:c r="E148" s="65"/>
      <x:c r="F148" s="65"/>
      <x:c r="G148" s="68" t="str">
        <x:f>IF(A148="","",COUNTIF('Options'!$A$5:$A$404,A148))</x:f>
      </x:c>
      <x:c r="H148" s="68" t="str">
        <x:f>IF(A148="","",COUNTIFS('Options'!$A$5:$A$404,A148,'Options'!$D$5:$D$404,"TRUE"))</x:f>
      </x:c>
      <x:c r="I148" s="68" t="str">
        <x:f>IF(COUNTA(A148:F148)=0,"",IF(OR(A148="",B148="",C148="",D148="",E148=""),"Missing required",IF(COUNTIF($A$5:$A$154,A148)&gt;1,"Duplicate challenge ID",IF(COUNTIF('Lessons'!$A$5:$A$84,B148)=0,"Unknown lesson ID",IF(COUNTIF('Challenge Guide'!$A$5:$A$13,D148)=0,"Unknown type",IF(D148="DICTATION",IF(AND(G148=1,H148=1),"Ready","Needs 1 correct option"),IF(D148="REORDER",IF(AND(G148&gt;=2,H148=G148),"Ready","All tiles must be correct"),IF(D148="MATCHING",IF(AND(G148&gt;=2,G148&lt;=12,MOD(G148,2)=0,H148=G148),"Ready","Needs 1-6 correct pairs"),IF(AND(G148&gt;=2,G148&lt;=6,H148=1),"Ready","Needs 2-6 options; 1 correct")))))))))</x:f>
      </x:c>
    </x:row>
    <x:row r="149">
      <x:c r="A149" s="65"/>
      <x:c r="B149" s="65"/>
      <x:c r="C149" s="65"/>
      <x:c r="D149" s="65"/>
      <x:c r="E149" s="65"/>
      <x:c r="F149" s="65"/>
      <x:c r="G149" s="68" t="str">
        <x:f>IF(A149="","",COUNTIF('Options'!$A$5:$A$404,A149))</x:f>
      </x:c>
      <x:c r="H149" s="68" t="str">
        <x:f>IF(A149="","",COUNTIFS('Options'!$A$5:$A$404,A149,'Options'!$D$5:$D$404,"TRUE"))</x:f>
      </x:c>
      <x:c r="I149" s="68" t="str">
        <x:f>IF(COUNTA(A149:F149)=0,"",IF(OR(A149="",B149="",C149="",D149="",E149=""),"Missing required",IF(COUNTIF($A$5:$A$154,A149)&gt;1,"Duplicate challenge ID",IF(COUNTIF('Lessons'!$A$5:$A$84,B149)=0,"Unknown lesson ID",IF(COUNTIF('Challenge Guide'!$A$5:$A$13,D149)=0,"Unknown type",IF(D149="DICTATION",IF(AND(G149=1,H149=1),"Ready","Needs 1 correct option"),IF(D149="REORDER",IF(AND(G149&gt;=2,H149=G149),"Ready","All tiles must be correct"),IF(D149="MATCHING",IF(AND(G149&gt;=2,G149&lt;=12,MOD(G149,2)=0,H149=G149),"Ready","Needs 1-6 correct pairs"),IF(AND(G149&gt;=2,G149&lt;=6,H149=1),"Ready","Needs 2-6 options; 1 correct")))))))))</x:f>
      </x:c>
    </x:row>
    <x:row r="150">
      <x:c r="A150" s="65"/>
      <x:c r="B150" s="65"/>
      <x:c r="C150" s="65"/>
      <x:c r="D150" s="65"/>
      <x:c r="E150" s="65"/>
      <x:c r="F150" s="65"/>
      <x:c r="G150" s="68" t="str">
        <x:f>IF(A150="","",COUNTIF('Options'!$A$5:$A$404,A150))</x:f>
      </x:c>
      <x:c r="H150" s="68" t="str">
        <x:f>IF(A150="","",COUNTIFS('Options'!$A$5:$A$404,A150,'Options'!$D$5:$D$404,"TRUE"))</x:f>
      </x:c>
      <x:c r="I150" s="68" t="str">
        <x:f>IF(COUNTA(A150:F150)=0,"",IF(OR(A150="",B150="",C150="",D150="",E150=""),"Missing required",IF(COUNTIF($A$5:$A$154,A150)&gt;1,"Duplicate challenge ID",IF(COUNTIF('Lessons'!$A$5:$A$84,B150)=0,"Unknown lesson ID",IF(COUNTIF('Challenge Guide'!$A$5:$A$13,D150)=0,"Unknown type",IF(D150="DICTATION",IF(AND(G150=1,H150=1),"Ready","Needs 1 correct option"),IF(D150="REORDER",IF(AND(G150&gt;=2,H150=G150),"Ready","All tiles must be correct"),IF(D150="MATCHING",IF(AND(G150&gt;=2,G150&lt;=12,MOD(G150,2)=0,H150=G150),"Ready","Needs 1-6 correct pairs"),IF(AND(G150&gt;=2,G150&lt;=6,H150=1),"Ready","Needs 2-6 options; 1 correct")))))))))</x:f>
      </x:c>
    </x:row>
    <x:row r="151">
      <x:c r="A151" s="65"/>
      <x:c r="B151" s="65"/>
      <x:c r="C151" s="65"/>
      <x:c r="D151" s="65"/>
      <x:c r="E151" s="65"/>
      <x:c r="F151" s="65"/>
      <x:c r="G151" s="68" t="str">
        <x:f>IF(A151="","",COUNTIF('Options'!$A$5:$A$404,A151))</x:f>
      </x:c>
      <x:c r="H151" s="68" t="str">
        <x:f>IF(A151="","",COUNTIFS('Options'!$A$5:$A$404,A151,'Options'!$D$5:$D$404,"TRUE"))</x:f>
      </x:c>
      <x:c r="I151" s="68" t="str">
        <x:f>IF(COUNTA(A151:F151)=0,"",IF(OR(A151="",B151="",C151="",D151="",E151=""),"Missing required",IF(COUNTIF($A$5:$A$154,A151)&gt;1,"Duplicate challenge ID",IF(COUNTIF('Lessons'!$A$5:$A$84,B151)=0,"Unknown lesson ID",IF(COUNTIF('Challenge Guide'!$A$5:$A$13,D151)=0,"Unknown type",IF(D151="DICTATION",IF(AND(G151=1,H151=1),"Ready","Needs 1 correct option"),IF(D151="REORDER",IF(AND(G151&gt;=2,H151=G151),"Ready","All tiles must be correct"),IF(D151="MATCHING",IF(AND(G151&gt;=2,G151&lt;=12,MOD(G151,2)=0,H151=G151),"Ready","Needs 1-6 correct pairs"),IF(AND(G151&gt;=2,G151&lt;=6,H151=1),"Ready","Needs 2-6 options; 1 correct")))))))))</x:f>
      </x:c>
    </x:row>
    <x:row r="152">
      <x:c r="A152" s="65"/>
      <x:c r="B152" s="65"/>
      <x:c r="C152" s="65"/>
      <x:c r="D152" s="65"/>
      <x:c r="E152" s="65"/>
      <x:c r="F152" s="65"/>
      <x:c r="G152" s="68" t="str">
        <x:f>IF(A152="","",COUNTIF('Options'!$A$5:$A$404,A152))</x:f>
      </x:c>
      <x:c r="H152" s="68" t="str">
        <x:f>IF(A152="","",COUNTIFS('Options'!$A$5:$A$404,A152,'Options'!$D$5:$D$404,"TRUE"))</x:f>
      </x:c>
      <x:c r="I152" s="68" t="str">
        <x:f>IF(COUNTA(A152:F152)=0,"",IF(OR(A152="",B152="",C152="",D152="",E152=""),"Missing required",IF(COUNTIF($A$5:$A$154,A152)&gt;1,"Duplicate challenge ID",IF(COUNTIF('Lessons'!$A$5:$A$84,B152)=0,"Unknown lesson ID",IF(COUNTIF('Challenge Guide'!$A$5:$A$13,D152)=0,"Unknown type",IF(D152="DICTATION",IF(AND(G152=1,H152=1),"Ready","Needs 1 correct option"),IF(D152="REORDER",IF(AND(G152&gt;=2,H152=G152),"Ready","All tiles must be correct"),IF(D152="MATCHING",IF(AND(G152&gt;=2,G152&lt;=12,MOD(G152,2)=0,H152=G152),"Ready","Needs 1-6 correct pairs"),IF(AND(G152&gt;=2,G152&lt;=6,H152=1),"Ready","Needs 2-6 options; 1 correct")))))))))</x:f>
      </x:c>
    </x:row>
    <x:row r="153">
      <x:c r="A153" s="65"/>
      <x:c r="B153" s="65"/>
      <x:c r="C153" s="65"/>
      <x:c r="D153" s="65"/>
      <x:c r="E153" s="65"/>
      <x:c r="F153" s="65"/>
      <x:c r="G153" s="68" t="str">
        <x:f>IF(A153="","",COUNTIF('Options'!$A$5:$A$404,A153))</x:f>
      </x:c>
      <x:c r="H153" s="68" t="str">
        <x:f>IF(A153="","",COUNTIFS('Options'!$A$5:$A$404,A153,'Options'!$D$5:$D$404,"TRUE"))</x:f>
      </x:c>
      <x:c r="I153" s="68" t="str">
        <x:f>IF(COUNTA(A153:F153)=0,"",IF(OR(A153="",B153="",C153="",D153="",E153=""),"Missing required",IF(COUNTIF($A$5:$A$154,A153)&gt;1,"Duplicate challenge ID",IF(COUNTIF('Lessons'!$A$5:$A$84,B153)=0,"Unknown lesson ID",IF(COUNTIF('Challenge Guide'!$A$5:$A$13,D153)=0,"Unknown type",IF(D153="DICTATION",IF(AND(G153=1,H153=1),"Ready","Needs 1 correct option"),IF(D153="REORDER",IF(AND(G153&gt;=2,H153=G153),"Ready","All tiles must be correct"),IF(D153="MATCHING",IF(AND(G153&gt;=2,G153&lt;=12,MOD(G153,2)=0,H153=G153),"Ready","Needs 1-6 correct pairs"),IF(AND(G153&gt;=2,G153&lt;=6,H153=1),"Ready","Needs 2-6 options; 1 correct")))))))))</x:f>
      </x:c>
    </x:row>
    <x:row r="154">
      <x:c r="A154" s="65"/>
      <x:c r="B154" s="65"/>
      <x:c r="C154" s="65"/>
      <x:c r="D154" s="65"/>
      <x:c r="E154" s="65"/>
      <x:c r="F154" s="65"/>
      <x:c r="G154" s="68" t="str">
        <x:f>IF(A154="","",COUNTIF('Options'!$A$5:$A$404,A154))</x:f>
      </x:c>
      <x:c r="H154" s="68" t="str">
        <x:f>IF(A154="","",COUNTIFS('Options'!$A$5:$A$404,A154,'Options'!$D$5:$D$404,"TRUE"))</x:f>
      </x:c>
      <x:c r="I154" s="68" t="str">
        <x:f>IF(COUNTA(A154:F154)=0,"",IF(OR(A154="",B154="",C154="",D154="",E154=""),"Missing required",IF(COUNTIF($A$5:$A$154,A154)&gt;1,"Duplicate challenge ID",IF(COUNTIF('Lessons'!$A$5:$A$84,B154)=0,"Unknown lesson ID",IF(COUNTIF('Challenge Guide'!$A$5:$A$13,D154)=0,"Unknown type",IF(D154="DICTATION",IF(AND(G154=1,H154=1),"Ready","Needs 1 correct option"),IF(D154="REORDER",IF(AND(G154&gt;=2,H154=G154),"Ready","All tiles must be correct"),IF(D154="MATCHING",IF(AND(G154&gt;=2,G154&lt;=12,MOD(G154,2)=0,H154=G154),"Ready","Needs 1-6 correct pairs"),IF(AND(G154&gt;=2,G154&lt;=6,H154=1),"Ready","Needs 2-6 options; 1 correct")))))))))</x:f>
      </x:c>
    </x:row>
  </x:sheetData>
  <x:mergeCells>
    <x:mergeCell ref="A1:I1"/>
    <x:mergeCell ref="A2:I2"/>
  </x:mergeCells>
  <x:conditionalFormatting sqref="I5:I154">
    <x:cfRule type="expression" dxfId="7" priority="1">
      <x:formula>$I5="Ready"</x:formula>
    </x:cfRule>
    <x:cfRule type="expression" dxfId="8" priority="2">
      <x:formula>AND($I5&lt;&gt;"",$I5&lt;&gt;"Ready")</x:formula>
    </x:cfRule>
  </x:conditionalFormatting>
  <x:dataValidations count="2">
    <x:dataValidation type="whole" operator="between" sqref="C5:C154">
      <x:formula1>1</x:formula1>
      <x:formula2>50</x:formula2>
    </x:dataValidation>
    <x:dataValidation type="list" sqref="D5:D154">
      <x:formula1>'Challenge Guide'!$A$5:$A$13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f8d4c629d84b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46" hidden="0" customWidth="1"/>
    <x:col min="4" max="4" width="14" hidden="0" customWidth="1"/>
    <x:col min="5" max="5" width="12" hidden="0" customWidth="1"/>
    <x:col min="6" max="6" width="44" hidden="0" customWidth="1"/>
    <x:col min="7" max="7" width="25" hidden="0" customWidth="1"/>
  </x:cols>
  <x:sheetData>
    <x:row r="1" ht="34" customHeight="1">
      <x:c r="A1" s="46" t="str">
        <x:v>Options</x:v>
      </x:c>
      <x:c r="B1" s="46" t="str">
        <x:v>Options</x:v>
      </x:c>
      <x:c r="C1" s="46" t="str">
        <x:v>Options</x:v>
      </x:c>
      <x:c r="D1" s="46" t="str">
        <x:v>Options</x:v>
      </x:c>
      <x:c r="E1" s="46" t="str">
        <x:v>Options</x:v>
      </x:c>
      <x:c r="F1" s="46" t="str">
        <x:v>Options</x:v>
      </x:c>
      <x:c r="G1" s="46" t="str">
        <x:v>Options</x:v>
      </x:c>
    </x:row>
    <x:row r="2" ht="34" customHeight="1">
      <x:c r="A2" s="49" t="str">
        <x:v>One row per answer, tile, or matching-pair side. Use consecutive option orders for each Challenge ID.</x:v>
      </x:c>
      <x:c r="B2" s="49" t="str">
        <x:v>One row per answer, tile, or matching-pair side. Use consecutive option orders for each Challenge ID.</x:v>
      </x:c>
      <x:c r="C2" s="49" t="str">
        <x:v>One row per answer, tile, or matching-pair side. Use consecutive option orders for each Challenge ID.</x:v>
      </x:c>
      <x:c r="D2" s="49" t="str">
        <x:v>One row per answer, tile, or matching-pair side. Use consecutive option orders for each Challenge ID.</x:v>
      </x:c>
      <x:c r="E2" s="49" t="str">
        <x:v>One row per answer, tile, or matching-pair side. Use consecutive option orders for each Challenge ID.</x:v>
      </x:c>
      <x:c r="F2" s="49" t="str">
        <x:v>One row per answer, tile, or matching-pair side. Use consecutive option orders for each Challenge ID.</x:v>
      </x:c>
      <x:c r="G2" s="49" t="str">
        <x:v>One row per answer, tile, or matching-pair side. Use consecutive option orders for each Challenge ID.</x:v>
      </x:c>
    </x:row>
    <x:row r="4" ht="30" customHeight="1">
      <x:c r="A4" s="14" t="str">
        <x:v>Challenge ID *</x:v>
      </x:c>
      <x:c r="B4" s="28" t="str">
        <x:v>Option Order *</x:v>
      </x:c>
      <x:c r="C4" s="28" t="str">
        <x:v>Option Text *</x:v>
      </x:c>
      <x:c r="D4" s="28" t="str">
        <x:v>Correct? *</x:v>
      </x:c>
      <x:c r="E4" s="28" t="str">
        <x:v>Emoji</x:v>
      </x:c>
      <x:c r="F4" s="28" t="str">
        <x:v>Audio Text</x:v>
      </x:c>
      <x:c r="G4" s="15" t="str">
        <x:v>Status</x:v>
      </x:c>
    </x:row>
    <x:row r="5">
      <x:c r="A5" s="54"/>
      <x:c r="B5" s="54"/>
      <x:c r="C5" s="54"/>
      <x:c r="D5" s="54"/>
      <x:c r="E5" s="54"/>
      <x:c r="F5" s="54"/>
      <x:c r="G5" s="59" t="str">
        <x:f>IF(COUNTA(A5:F5)=0,"",IF(OR(A5="",B5="",C5="",D5=""),"Missing required",IF(COUNTIF('Challenges'!$A$5:$A$154,A5)=0,"Unknown challenge ID",IF(COUNTIFS($A$5:$A$404,A5,$B$5:$B$404,B5)&gt;1,"Duplicate option order","Ready"))))</x:f>
      </x:c>
    </x:row>
    <x:row r="6">
      <x:c r="A6" s="65"/>
      <x:c r="B6" s="65"/>
      <x:c r="C6" s="65"/>
      <x:c r="D6" s="65"/>
      <x:c r="E6" s="65"/>
      <x:c r="F6" s="65"/>
      <x:c r="G6" s="68" t="str">
        <x:f>IF(COUNTA(A6:F6)=0,"",IF(OR(A6="",B6="",C6="",D6=""),"Missing required",IF(COUNTIF('Challenges'!$A$5:$A$154,A6)=0,"Unknown challenge ID",IF(COUNTIFS($A$5:$A$404,A6,$B$5:$B$404,B6)&gt;1,"Duplicate option order","Ready"))))</x:f>
      </x:c>
    </x:row>
    <x:row r="7">
      <x:c r="A7" s="65"/>
      <x:c r="B7" s="65"/>
      <x:c r="C7" s="65"/>
      <x:c r="D7" s="65"/>
      <x:c r="E7" s="65"/>
      <x:c r="F7" s="65"/>
      <x:c r="G7" s="68" t="str">
        <x:f>IF(COUNTA(A7:F7)=0,"",IF(OR(A7="",B7="",C7="",D7=""),"Missing required",IF(COUNTIF('Challenges'!$A$5:$A$154,A7)=0,"Unknown challenge ID",IF(COUNTIFS($A$5:$A$404,A7,$B$5:$B$404,B7)&gt;1,"Duplicate option order","Ready"))))</x:f>
      </x:c>
    </x:row>
    <x:row r="8">
      <x:c r="A8" s="65"/>
      <x:c r="B8" s="65"/>
      <x:c r="C8" s="65"/>
      <x:c r="D8" s="65"/>
      <x:c r="E8" s="65"/>
      <x:c r="F8" s="65"/>
      <x:c r="G8" s="68" t="str">
        <x:f>IF(COUNTA(A8:F8)=0,"",IF(OR(A8="",B8="",C8="",D8=""),"Missing required",IF(COUNTIF('Challenges'!$A$5:$A$154,A8)=0,"Unknown challenge ID",IF(COUNTIFS($A$5:$A$404,A8,$B$5:$B$404,B8)&gt;1,"Duplicate option order","Ready"))))</x:f>
      </x:c>
    </x:row>
    <x:row r="9">
      <x:c r="A9" s="65"/>
      <x:c r="B9" s="65"/>
      <x:c r="C9" s="65"/>
      <x:c r="D9" s="65"/>
      <x:c r="E9" s="65"/>
      <x:c r="F9" s="65"/>
      <x:c r="G9" s="68" t="str">
        <x:f>IF(COUNTA(A9:F9)=0,"",IF(OR(A9="",B9="",C9="",D9=""),"Missing required",IF(COUNTIF('Challenges'!$A$5:$A$154,A9)=0,"Unknown challenge ID",IF(COUNTIFS($A$5:$A$404,A9,$B$5:$B$404,B9)&gt;1,"Duplicate option order","Ready"))))</x:f>
      </x:c>
    </x:row>
    <x:row r="10">
      <x:c r="A10" s="65"/>
      <x:c r="B10" s="65"/>
      <x:c r="C10" s="65"/>
      <x:c r="D10" s="65"/>
      <x:c r="E10" s="65"/>
      <x:c r="F10" s="65"/>
      <x:c r="G10" s="68" t="str">
        <x:f>IF(COUNTA(A10:F10)=0,"",IF(OR(A10="",B10="",C10="",D10=""),"Missing required",IF(COUNTIF('Challenges'!$A$5:$A$154,A10)=0,"Unknown challenge ID",IF(COUNTIFS($A$5:$A$404,A10,$B$5:$B$404,B10)&gt;1,"Duplicate option order","Ready"))))</x:f>
      </x:c>
    </x:row>
    <x:row r="11">
      <x:c r="A11" s="65"/>
      <x:c r="B11" s="65"/>
      <x:c r="C11" s="65"/>
      <x:c r="D11" s="65"/>
      <x:c r="E11" s="65"/>
      <x:c r="F11" s="65"/>
      <x:c r="G11" s="68" t="str">
        <x:f>IF(COUNTA(A11:F11)=0,"",IF(OR(A11="",B11="",C11="",D11=""),"Missing required",IF(COUNTIF('Challenges'!$A$5:$A$154,A11)=0,"Unknown challenge ID",IF(COUNTIFS($A$5:$A$404,A11,$B$5:$B$404,B11)&gt;1,"Duplicate option order","Ready"))))</x:f>
      </x:c>
    </x:row>
    <x:row r="12">
      <x:c r="A12" s="65"/>
      <x:c r="B12" s="65"/>
      <x:c r="C12" s="65"/>
      <x:c r="D12" s="65"/>
      <x:c r="E12" s="65"/>
      <x:c r="F12" s="65"/>
      <x:c r="G12" s="68" t="str">
        <x:f>IF(COUNTA(A12:F12)=0,"",IF(OR(A12="",B12="",C12="",D12=""),"Missing required",IF(COUNTIF('Challenges'!$A$5:$A$154,A12)=0,"Unknown challenge ID",IF(COUNTIFS($A$5:$A$404,A12,$B$5:$B$404,B12)&gt;1,"Duplicate option order","Ready"))))</x:f>
      </x:c>
    </x:row>
    <x:row r="13">
      <x:c r="A13" s="65"/>
      <x:c r="B13" s="65"/>
      <x:c r="C13" s="65"/>
      <x:c r="D13" s="65"/>
      <x:c r="E13" s="65"/>
      <x:c r="F13" s="65"/>
      <x:c r="G13" s="68" t="str">
        <x:f>IF(COUNTA(A13:F13)=0,"",IF(OR(A13="",B13="",C13="",D13=""),"Missing required",IF(COUNTIF('Challenges'!$A$5:$A$154,A13)=0,"Unknown challenge ID",IF(COUNTIFS($A$5:$A$404,A13,$B$5:$B$404,B13)&gt;1,"Duplicate option order","Ready"))))</x:f>
      </x:c>
    </x:row>
    <x:row r="14">
      <x:c r="A14" s="65"/>
      <x:c r="B14" s="65"/>
      <x:c r="C14" s="65"/>
      <x:c r="D14" s="65"/>
      <x:c r="E14" s="65"/>
      <x:c r="F14" s="65"/>
      <x:c r="G14" s="68" t="str">
        <x:f>IF(COUNTA(A14:F14)=0,"",IF(OR(A14="",B14="",C14="",D14=""),"Missing required",IF(COUNTIF('Challenges'!$A$5:$A$154,A14)=0,"Unknown challenge ID",IF(COUNTIFS($A$5:$A$404,A14,$B$5:$B$404,B14)&gt;1,"Duplicate option order","Ready"))))</x:f>
      </x:c>
    </x:row>
    <x:row r="15">
      <x:c r="A15" s="65"/>
      <x:c r="B15" s="65"/>
      <x:c r="C15" s="65"/>
      <x:c r="D15" s="65"/>
      <x:c r="E15" s="65"/>
      <x:c r="F15" s="65"/>
      <x:c r="G15" s="68" t="str">
        <x:f>IF(COUNTA(A15:F15)=0,"",IF(OR(A15="",B15="",C15="",D15=""),"Missing required",IF(COUNTIF('Challenges'!$A$5:$A$154,A15)=0,"Unknown challenge ID",IF(COUNTIFS($A$5:$A$404,A15,$B$5:$B$404,B15)&gt;1,"Duplicate option order","Ready"))))</x:f>
      </x:c>
    </x:row>
    <x:row r="16">
      <x:c r="A16" s="65"/>
      <x:c r="B16" s="65"/>
      <x:c r="C16" s="65"/>
      <x:c r="D16" s="65"/>
      <x:c r="E16" s="65"/>
      <x:c r="F16" s="65"/>
      <x:c r="G16" s="68" t="str">
        <x:f>IF(COUNTA(A16:F16)=0,"",IF(OR(A16="",B16="",C16="",D16=""),"Missing required",IF(COUNTIF('Challenges'!$A$5:$A$154,A16)=0,"Unknown challenge ID",IF(COUNTIFS($A$5:$A$404,A16,$B$5:$B$404,B16)&gt;1,"Duplicate option order","Ready"))))</x:f>
      </x:c>
    </x:row>
    <x:row r="17">
      <x:c r="A17" s="65"/>
      <x:c r="B17" s="65"/>
      <x:c r="C17" s="65"/>
      <x:c r="D17" s="65"/>
      <x:c r="E17" s="65"/>
      <x:c r="F17" s="65"/>
      <x:c r="G17" s="68" t="str">
        <x:f>IF(COUNTA(A17:F17)=0,"",IF(OR(A17="",B17="",C17="",D17=""),"Missing required",IF(COUNTIF('Challenges'!$A$5:$A$154,A17)=0,"Unknown challenge ID",IF(COUNTIFS($A$5:$A$404,A17,$B$5:$B$404,B17)&gt;1,"Duplicate option order","Ready"))))</x:f>
      </x:c>
    </x:row>
    <x:row r="18">
      <x:c r="A18" s="65"/>
      <x:c r="B18" s="65"/>
      <x:c r="C18" s="65"/>
      <x:c r="D18" s="65"/>
      <x:c r="E18" s="65"/>
      <x:c r="F18" s="65"/>
      <x:c r="G18" s="68" t="str">
        <x:f>IF(COUNTA(A18:F18)=0,"",IF(OR(A18="",B18="",C18="",D18=""),"Missing required",IF(COUNTIF('Challenges'!$A$5:$A$154,A18)=0,"Unknown challenge ID",IF(COUNTIFS($A$5:$A$404,A18,$B$5:$B$404,B18)&gt;1,"Duplicate option order","Ready"))))</x:f>
      </x:c>
    </x:row>
    <x:row r="19">
      <x:c r="A19" s="65"/>
      <x:c r="B19" s="65"/>
      <x:c r="C19" s="65"/>
      <x:c r="D19" s="65"/>
      <x:c r="E19" s="65"/>
      <x:c r="F19" s="65"/>
      <x:c r="G19" s="68" t="str">
        <x:f>IF(COUNTA(A19:F19)=0,"",IF(OR(A19="",B19="",C19="",D19=""),"Missing required",IF(COUNTIF('Challenges'!$A$5:$A$154,A19)=0,"Unknown challenge ID",IF(COUNTIFS($A$5:$A$404,A19,$B$5:$B$404,B19)&gt;1,"Duplicate option order","Ready"))))</x:f>
      </x:c>
    </x:row>
    <x:row r="20">
      <x:c r="A20" s="65"/>
      <x:c r="B20" s="65"/>
      <x:c r="C20" s="65"/>
      <x:c r="D20" s="65"/>
      <x:c r="E20" s="65"/>
      <x:c r="F20" s="65"/>
      <x:c r="G20" s="68" t="str">
        <x:f>IF(COUNTA(A20:F20)=0,"",IF(OR(A20="",B20="",C20="",D20=""),"Missing required",IF(COUNTIF('Challenges'!$A$5:$A$154,A20)=0,"Unknown challenge ID",IF(COUNTIFS($A$5:$A$404,A20,$B$5:$B$404,B20)&gt;1,"Duplicate option order","Ready"))))</x:f>
      </x:c>
    </x:row>
    <x:row r="21">
      <x:c r="A21" s="65"/>
      <x:c r="B21" s="65"/>
      <x:c r="C21" s="65"/>
      <x:c r="D21" s="65"/>
      <x:c r="E21" s="65"/>
      <x:c r="F21" s="65"/>
      <x:c r="G21" s="68" t="str">
        <x:f>IF(COUNTA(A21:F21)=0,"",IF(OR(A21="",B21="",C21="",D21=""),"Missing required",IF(COUNTIF('Challenges'!$A$5:$A$154,A21)=0,"Unknown challenge ID",IF(COUNTIFS($A$5:$A$404,A21,$B$5:$B$404,B21)&gt;1,"Duplicate option order","Ready"))))</x:f>
      </x:c>
    </x:row>
    <x:row r="22">
      <x:c r="A22" s="65"/>
      <x:c r="B22" s="65"/>
      <x:c r="C22" s="65"/>
      <x:c r="D22" s="65"/>
      <x:c r="E22" s="65"/>
      <x:c r="F22" s="65"/>
      <x:c r="G22" s="68" t="str">
        <x:f>IF(COUNTA(A22:F22)=0,"",IF(OR(A22="",B22="",C22="",D22=""),"Missing required",IF(COUNTIF('Challenges'!$A$5:$A$154,A22)=0,"Unknown challenge ID",IF(COUNTIFS($A$5:$A$404,A22,$B$5:$B$404,B22)&gt;1,"Duplicate option order","Ready"))))</x:f>
      </x:c>
    </x:row>
    <x:row r="23">
      <x:c r="A23" s="65"/>
      <x:c r="B23" s="65"/>
      <x:c r="C23" s="65"/>
      <x:c r="D23" s="65"/>
      <x:c r="E23" s="65"/>
      <x:c r="F23" s="65"/>
      <x:c r="G23" s="68" t="str">
        <x:f>IF(COUNTA(A23:F23)=0,"",IF(OR(A23="",B23="",C23="",D23=""),"Missing required",IF(COUNTIF('Challenges'!$A$5:$A$154,A23)=0,"Unknown challenge ID",IF(COUNTIFS($A$5:$A$404,A23,$B$5:$B$404,B23)&gt;1,"Duplicate option order","Ready"))))</x:f>
      </x:c>
    </x:row>
    <x:row r="24">
      <x:c r="A24" s="65"/>
      <x:c r="B24" s="65"/>
      <x:c r="C24" s="65"/>
      <x:c r="D24" s="65"/>
      <x:c r="E24" s="65"/>
      <x:c r="F24" s="65"/>
      <x:c r="G24" s="68" t="str">
        <x:f>IF(COUNTA(A24:F24)=0,"",IF(OR(A24="",B24="",C24="",D24=""),"Missing required",IF(COUNTIF('Challenges'!$A$5:$A$154,A24)=0,"Unknown challenge ID",IF(COUNTIFS($A$5:$A$404,A24,$B$5:$B$404,B24)&gt;1,"Duplicate option order","Ready"))))</x:f>
      </x:c>
    </x:row>
    <x:row r="25">
      <x:c r="A25" s="65"/>
      <x:c r="B25" s="65"/>
      <x:c r="C25" s="65"/>
      <x:c r="D25" s="65"/>
      <x:c r="E25" s="65"/>
      <x:c r="F25" s="65"/>
      <x:c r="G25" s="68" t="str">
        <x:f>IF(COUNTA(A25:F25)=0,"",IF(OR(A25="",B25="",C25="",D25=""),"Missing required",IF(COUNTIF('Challenges'!$A$5:$A$154,A25)=0,"Unknown challenge ID",IF(COUNTIFS($A$5:$A$404,A25,$B$5:$B$404,B25)&gt;1,"Duplicate option order","Ready"))))</x:f>
      </x:c>
    </x:row>
    <x:row r="26">
      <x:c r="A26" s="65"/>
      <x:c r="B26" s="65"/>
      <x:c r="C26" s="65"/>
      <x:c r="D26" s="65"/>
      <x:c r="E26" s="65"/>
      <x:c r="F26" s="65"/>
      <x:c r="G26" s="68" t="str">
        <x:f>IF(COUNTA(A26:F26)=0,"",IF(OR(A26="",B26="",C26="",D26=""),"Missing required",IF(COUNTIF('Challenges'!$A$5:$A$154,A26)=0,"Unknown challenge ID",IF(COUNTIFS($A$5:$A$404,A26,$B$5:$B$404,B26)&gt;1,"Duplicate option order","Ready"))))</x:f>
      </x:c>
    </x:row>
    <x:row r="27">
      <x:c r="A27" s="65"/>
      <x:c r="B27" s="65"/>
      <x:c r="C27" s="65"/>
      <x:c r="D27" s="65"/>
      <x:c r="E27" s="65"/>
      <x:c r="F27" s="65"/>
      <x:c r="G27" s="68" t="str">
        <x:f>IF(COUNTA(A27:F27)=0,"",IF(OR(A27="",B27="",C27="",D27=""),"Missing required",IF(COUNTIF('Challenges'!$A$5:$A$154,A27)=0,"Unknown challenge ID",IF(COUNTIFS($A$5:$A$404,A27,$B$5:$B$404,B27)&gt;1,"Duplicate option order","Ready"))))</x:f>
      </x:c>
    </x:row>
    <x:row r="28">
      <x:c r="A28" s="65"/>
      <x:c r="B28" s="65"/>
      <x:c r="C28" s="65"/>
      <x:c r="D28" s="65"/>
      <x:c r="E28" s="65"/>
      <x:c r="F28" s="65"/>
      <x:c r="G28" s="68" t="str">
        <x:f>IF(COUNTA(A28:F28)=0,"",IF(OR(A28="",B28="",C28="",D28=""),"Missing required",IF(COUNTIF('Challenges'!$A$5:$A$154,A28)=0,"Unknown challenge ID",IF(COUNTIFS($A$5:$A$404,A28,$B$5:$B$404,B28)&gt;1,"Duplicate option order","Ready"))))</x:f>
      </x:c>
    </x:row>
    <x:row r="29">
      <x:c r="A29" s="65"/>
      <x:c r="B29" s="65"/>
      <x:c r="C29" s="65"/>
      <x:c r="D29" s="65"/>
      <x:c r="E29" s="65"/>
      <x:c r="F29" s="65"/>
      <x:c r="G29" s="68" t="str">
        <x:f>IF(COUNTA(A29:F29)=0,"",IF(OR(A29="",B29="",C29="",D29=""),"Missing required",IF(COUNTIF('Challenges'!$A$5:$A$154,A29)=0,"Unknown challenge ID",IF(COUNTIFS($A$5:$A$404,A29,$B$5:$B$404,B29)&gt;1,"Duplicate option order","Ready"))))</x:f>
      </x:c>
    </x:row>
    <x:row r="30">
      <x:c r="A30" s="65"/>
      <x:c r="B30" s="65"/>
      <x:c r="C30" s="65"/>
      <x:c r="D30" s="65"/>
      <x:c r="E30" s="65"/>
      <x:c r="F30" s="65"/>
      <x:c r="G30" s="68" t="str">
        <x:f>IF(COUNTA(A30:F30)=0,"",IF(OR(A30="",B30="",C30="",D30=""),"Missing required",IF(COUNTIF('Challenges'!$A$5:$A$154,A30)=0,"Unknown challenge ID",IF(COUNTIFS($A$5:$A$404,A30,$B$5:$B$404,B30)&gt;1,"Duplicate option order","Ready"))))</x:f>
      </x:c>
    </x:row>
    <x:row r="31">
      <x:c r="A31" s="65"/>
      <x:c r="B31" s="65"/>
      <x:c r="C31" s="65"/>
      <x:c r="D31" s="65"/>
      <x:c r="E31" s="65"/>
      <x:c r="F31" s="65"/>
      <x:c r="G31" s="68" t="str">
        <x:f>IF(COUNTA(A31:F31)=0,"",IF(OR(A31="",B31="",C31="",D31=""),"Missing required",IF(COUNTIF('Challenges'!$A$5:$A$154,A31)=0,"Unknown challenge ID",IF(COUNTIFS($A$5:$A$404,A31,$B$5:$B$404,B31)&gt;1,"Duplicate option order","Ready"))))</x:f>
      </x:c>
    </x:row>
    <x:row r="32">
      <x:c r="A32" s="65"/>
      <x:c r="B32" s="65"/>
      <x:c r="C32" s="65"/>
      <x:c r="D32" s="65"/>
      <x:c r="E32" s="65"/>
      <x:c r="F32" s="65"/>
      <x:c r="G32" s="68" t="str">
        <x:f>IF(COUNTA(A32:F32)=0,"",IF(OR(A32="",B32="",C32="",D32=""),"Missing required",IF(COUNTIF('Challenges'!$A$5:$A$154,A32)=0,"Unknown challenge ID",IF(COUNTIFS($A$5:$A$404,A32,$B$5:$B$404,B32)&gt;1,"Duplicate option order","Ready"))))</x:f>
      </x:c>
    </x:row>
    <x:row r="33">
      <x:c r="A33" s="65"/>
      <x:c r="B33" s="65"/>
      <x:c r="C33" s="65"/>
      <x:c r="D33" s="65"/>
      <x:c r="E33" s="65"/>
      <x:c r="F33" s="65"/>
      <x:c r="G33" s="68" t="str">
        <x:f>IF(COUNTA(A33:F33)=0,"",IF(OR(A33="",B33="",C33="",D33=""),"Missing required",IF(COUNTIF('Challenges'!$A$5:$A$154,A33)=0,"Unknown challenge ID",IF(COUNTIFS($A$5:$A$404,A33,$B$5:$B$404,B33)&gt;1,"Duplicate option order","Ready"))))</x:f>
      </x:c>
    </x:row>
    <x:row r="34">
      <x:c r="A34" s="65"/>
      <x:c r="B34" s="65"/>
      <x:c r="C34" s="65"/>
      <x:c r="D34" s="65"/>
      <x:c r="E34" s="65"/>
      <x:c r="F34" s="65"/>
      <x:c r="G34" s="68" t="str">
        <x:f>IF(COUNTA(A34:F34)=0,"",IF(OR(A34="",B34="",C34="",D34=""),"Missing required",IF(COUNTIF('Challenges'!$A$5:$A$154,A34)=0,"Unknown challenge ID",IF(COUNTIFS($A$5:$A$404,A34,$B$5:$B$404,B34)&gt;1,"Duplicate option order","Ready"))))</x:f>
      </x:c>
    </x:row>
    <x:row r="35">
      <x:c r="A35" s="65"/>
      <x:c r="B35" s="65"/>
      <x:c r="C35" s="65"/>
      <x:c r="D35" s="65"/>
      <x:c r="E35" s="65"/>
      <x:c r="F35" s="65"/>
      <x:c r="G35" s="68" t="str">
        <x:f>IF(COUNTA(A35:F35)=0,"",IF(OR(A35="",B35="",C35="",D35=""),"Missing required",IF(COUNTIF('Challenges'!$A$5:$A$154,A35)=0,"Unknown challenge ID",IF(COUNTIFS($A$5:$A$404,A35,$B$5:$B$404,B35)&gt;1,"Duplicate option order","Ready"))))</x:f>
      </x:c>
    </x:row>
    <x:row r="36">
      <x:c r="A36" s="65"/>
      <x:c r="B36" s="65"/>
      <x:c r="C36" s="65"/>
      <x:c r="D36" s="65"/>
      <x:c r="E36" s="65"/>
      <x:c r="F36" s="65"/>
      <x:c r="G36" s="68" t="str">
        <x:f>IF(COUNTA(A36:F36)=0,"",IF(OR(A36="",B36="",C36="",D36=""),"Missing required",IF(COUNTIF('Challenges'!$A$5:$A$154,A36)=0,"Unknown challenge ID",IF(COUNTIFS($A$5:$A$404,A36,$B$5:$B$404,B36)&gt;1,"Duplicate option order","Ready"))))</x:f>
      </x:c>
    </x:row>
    <x:row r="37">
      <x:c r="A37" s="65"/>
      <x:c r="B37" s="65"/>
      <x:c r="C37" s="65"/>
      <x:c r="D37" s="65"/>
      <x:c r="E37" s="65"/>
      <x:c r="F37" s="65"/>
      <x:c r="G37" s="68" t="str">
        <x:f>IF(COUNTA(A37:F37)=0,"",IF(OR(A37="",B37="",C37="",D37=""),"Missing required",IF(COUNTIF('Challenges'!$A$5:$A$154,A37)=0,"Unknown challenge ID",IF(COUNTIFS($A$5:$A$404,A37,$B$5:$B$404,B37)&gt;1,"Duplicate option order","Ready"))))</x:f>
      </x:c>
    </x:row>
    <x:row r="38">
      <x:c r="A38" s="65"/>
      <x:c r="B38" s="65"/>
      <x:c r="C38" s="65"/>
      <x:c r="D38" s="65"/>
      <x:c r="E38" s="65"/>
      <x:c r="F38" s="65"/>
      <x:c r="G38" s="68" t="str">
        <x:f>IF(COUNTA(A38:F38)=0,"",IF(OR(A38="",B38="",C38="",D38=""),"Missing required",IF(COUNTIF('Challenges'!$A$5:$A$154,A38)=0,"Unknown challenge ID",IF(COUNTIFS($A$5:$A$404,A38,$B$5:$B$404,B38)&gt;1,"Duplicate option order","Ready"))))</x:f>
      </x:c>
    </x:row>
    <x:row r="39">
      <x:c r="A39" s="65"/>
      <x:c r="B39" s="65"/>
      <x:c r="C39" s="65"/>
      <x:c r="D39" s="65"/>
      <x:c r="E39" s="65"/>
      <x:c r="F39" s="65"/>
      <x:c r="G39" s="68" t="str">
        <x:f>IF(COUNTA(A39:F39)=0,"",IF(OR(A39="",B39="",C39="",D39=""),"Missing required",IF(COUNTIF('Challenges'!$A$5:$A$154,A39)=0,"Unknown challenge ID",IF(COUNTIFS($A$5:$A$404,A39,$B$5:$B$404,B39)&gt;1,"Duplicate option order","Ready"))))</x:f>
      </x:c>
    </x:row>
    <x:row r="40">
      <x:c r="A40" s="65"/>
      <x:c r="B40" s="65"/>
      <x:c r="C40" s="65"/>
      <x:c r="D40" s="65"/>
      <x:c r="E40" s="65"/>
      <x:c r="F40" s="65"/>
      <x:c r="G40" s="68" t="str">
        <x:f>IF(COUNTA(A40:F40)=0,"",IF(OR(A40="",B40="",C40="",D40=""),"Missing required",IF(COUNTIF('Challenges'!$A$5:$A$154,A40)=0,"Unknown challenge ID",IF(COUNTIFS($A$5:$A$404,A40,$B$5:$B$404,B40)&gt;1,"Duplicate option order","Ready"))))</x:f>
      </x:c>
    </x:row>
    <x:row r="41">
      <x:c r="A41" s="65"/>
      <x:c r="B41" s="65"/>
      <x:c r="C41" s="65"/>
      <x:c r="D41" s="65"/>
      <x:c r="E41" s="65"/>
      <x:c r="F41" s="65"/>
      <x:c r="G41" s="68" t="str">
        <x:f>IF(COUNTA(A41:F41)=0,"",IF(OR(A41="",B41="",C41="",D41=""),"Missing required",IF(COUNTIF('Challenges'!$A$5:$A$154,A41)=0,"Unknown challenge ID",IF(COUNTIFS($A$5:$A$404,A41,$B$5:$B$404,B41)&gt;1,"Duplicate option order","Ready"))))</x:f>
      </x:c>
    </x:row>
    <x:row r="42">
      <x:c r="A42" s="65"/>
      <x:c r="B42" s="65"/>
      <x:c r="C42" s="65"/>
      <x:c r="D42" s="65"/>
      <x:c r="E42" s="65"/>
      <x:c r="F42" s="65"/>
      <x:c r="G42" s="68" t="str">
        <x:f>IF(COUNTA(A42:F42)=0,"",IF(OR(A42="",B42="",C42="",D42=""),"Missing required",IF(COUNTIF('Challenges'!$A$5:$A$154,A42)=0,"Unknown challenge ID",IF(COUNTIFS($A$5:$A$404,A42,$B$5:$B$404,B42)&gt;1,"Duplicate option order","Ready"))))</x:f>
      </x:c>
    </x:row>
    <x:row r="43">
      <x:c r="A43" s="65"/>
      <x:c r="B43" s="65"/>
      <x:c r="C43" s="65"/>
      <x:c r="D43" s="65"/>
      <x:c r="E43" s="65"/>
      <x:c r="F43" s="65"/>
      <x:c r="G43" s="68" t="str">
        <x:f>IF(COUNTA(A43:F43)=0,"",IF(OR(A43="",B43="",C43="",D43=""),"Missing required",IF(COUNTIF('Challenges'!$A$5:$A$154,A43)=0,"Unknown challenge ID",IF(COUNTIFS($A$5:$A$404,A43,$B$5:$B$404,B43)&gt;1,"Duplicate option order","Ready"))))</x:f>
      </x:c>
    </x:row>
    <x:row r="44">
      <x:c r="A44" s="65"/>
      <x:c r="B44" s="65"/>
      <x:c r="C44" s="65"/>
      <x:c r="D44" s="65"/>
      <x:c r="E44" s="65"/>
      <x:c r="F44" s="65"/>
      <x:c r="G44" s="68" t="str">
        <x:f>IF(COUNTA(A44:F44)=0,"",IF(OR(A44="",B44="",C44="",D44=""),"Missing required",IF(COUNTIF('Challenges'!$A$5:$A$154,A44)=0,"Unknown challenge ID",IF(COUNTIFS($A$5:$A$404,A44,$B$5:$B$404,B44)&gt;1,"Duplicate option order","Ready"))))</x:f>
      </x:c>
    </x:row>
    <x:row r="45">
      <x:c r="A45" s="65"/>
      <x:c r="B45" s="65"/>
      <x:c r="C45" s="65"/>
      <x:c r="D45" s="65"/>
      <x:c r="E45" s="65"/>
      <x:c r="F45" s="65"/>
      <x:c r="G45" s="68" t="str">
        <x:f>IF(COUNTA(A45:F45)=0,"",IF(OR(A45="",B45="",C45="",D45=""),"Missing required",IF(COUNTIF('Challenges'!$A$5:$A$154,A45)=0,"Unknown challenge ID",IF(COUNTIFS($A$5:$A$404,A45,$B$5:$B$404,B45)&gt;1,"Duplicate option order","Ready"))))</x:f>
      </x:c>
    </x:row>
    <x:row r="46">
      <x:c r="A46" s="65"/>
      <x:c r="B46" s="65"/>
      <x:c r="C46" s="65"/>
      <x:c r="D46" s="65"/>
      <x:c r="E46" s="65"/>
      <x:c r="F46" s="65"/>
      <x:c r="G46" s="68" t="str">
        <x:f>IF(COUNTA(A46:F46)=0,"",IF(OR(A46="",B46="",C46="",D46=""),"Missing required",IF(COUNTIF('Challenges'!$A$5:$A$154,A46)=0,"Unknown challenge ID",IF(COUNTIFS($A$5:$A$404,A46,$B$5:$B$404,B46)&gt;1,"Duplicate option order","Ready"))))</x:f>
      </x:c>
    </x:row>
    <x:row r="47">
      <x:c r="A47" s="65"/>
      <x:c r="B47" s="65"/>
      <x:c r="C47" s="65"/>
      <x:c r="D47" s="65"/>
      <x:c r="E47" s="65"/>
      <x:c r="F47" s="65"/>
      <x:c r="G47" s="68" t="str">
        <x:f>IF(COUNTA(A47:F47)=0,"",IF(OR(A47="",B47="",C47="",D47=""),"Missing required",IF(COUNTIF('Challenges'!$A$5:$A$154,A47)=0,"Unknown challenge ID",IF(COUNTIFS($A$5:$A$404,A47,$B$5:$B$404,B47)&gt;1,"Duplicate option order","Ready"))))</x:f>
      </x:c>
    </x:row>
    <x:row r="48">
      <x:c r="A48" s="65"/>
      <x:c r="B48" s="65"/>
      <x:c r="C48" s="65"/>
      <x:c r="D48" s="65"/>
      <x:c r="E48" s="65"/>
      <x:c r="F48" s="65"/>
      <x:c r="G48" s="68" t="str">
        <x:f>IF(COUNTA(A48:F48)=0,"",IF(OR(A48="",B48="",C48="",D48=""),"Missing required",IF(COUNTIF('Challenges'!$A$5:$A$154,A48)=0,"Unknown challenge ID",IF(COUNTIFS($A$5:$A$404,A48,$B$5:$B$404,B48)&gt;1,"Duplicate option order","Ready"))))</x:f>
      </x:c>
    </x:row>
    <x:row r="49">
      <x:c r="A49" s="65"/>
      <x:c r="B49" s="65"/>
      <x:c r="C49" s="65"/>
      <x:c r="D49" s="65"/>
      <x:c r="E49" s="65"/>
      <x:c r="F49" s="65"/>
      <x:c r="G49" s="68" t="str">
        <x:f>IF(COUNTA(A49:F49)=0,"",IF(OR(A49="",B49="",C49="",D49=""),"Missing required",IF(COUNTIF('Challenges'!$A$5:$A$154,A49)=0,"Unknown challenge ID",IF(COUNTIFS($A$5:$A$404,A49,$B$5:$B$404,B49)&gt;1,"Duplicate option order","Ready"))))</x:f>
      </x:c>
    </x:row>
    <x:row r="50">
      <x:c r="A50" s="65"/>
      <x:c r="B50" s="65"/>
      <x:c r="C50" s="65"/>
      <x:c r="D50" s="65"/>
      <x:c r="E50" s="65"/>
      <x:c r="F50" s="65"/>
      <x:c r="G50" s="68" t="str">
        <x:f>IF(COUNTA(A50:F50)=0,"",IF(OR(A50="",B50="",C50="",D50=""),"Missing required",IF(COUNTIF('Challenges'!$A$5:$A$154,A50)=0,"Unknown challenge ID",IF(COUNTIFS($A$5:$A$404,A50,$B$5:$B$404,B50)&gt;1,"Duplicate option order","Ready"))))</x:f>
      </x:c>
    </x:row>
    <x:row r="51">
      <x:c r="A51" s="65"/>
      <x:c r="B51" s="65"/>
      <x:c r="C51" s="65"/>
      <x:c r="D51" s="65"/>
      <x:c r="E51" s="65"/>
      <x:c r="F51" s="65"/>
      <x:c r="G51" s="68" t="str">
        <x:f>IF(COUNTA(A51:F51)=0,"",IF(OR(A51="",B51="",C51="",D51=""),"Missing required",IF(COUNTIF('Challenges'!$A$5:$A$154,A51)=0,"Unknown challenge ID",IF(COUNTIFS($A$5:$A$404,A51,$B$5:$B$404,B51)&gt;1,"Duplicate option order","Ready"))))</x:f>
      </x:c>
    </x:row>
    <x:row r="52">
      <x:c r="A52" s="65"/>
      <x:c r="B52" s="65"/>
      <x:c r="C52" s="65"/>
      <x:c r="D52" s="65"/>
      <x:c r="E52" s="65"/>
      <x:c r="F52" s="65"/>
      <x:c r="G52" s="68" t="str">
        <x:f>IF(COUNTA(A52:F52)=0,"",IF(OR(A52="",B52="",C52="",D52=""),"Missing required",IF(COUNTIF('Challenges'!$A$5:$A$154,A52)=0,"Unknown challenge ID",IF(COUNTIFS($A$5:$A$404,A52,$B$5:$B$404,B52)&gt;1,"Duplicate option order","Ready"))))</x:f>
      </x:c>
    </x:row>
    <x:row r="53">
      <x:c r="A53" s="65"/>
      <x:c r="B53" s="65"/>
      <x:c r="C53" s="65"/>
      <x:c r="D53" s="65"/>
      <x:c r="E53" s="65"/>
      <x:c r="F53" s="65"/>
      <x:c r="G53" s="68" t="str">
        <x:f>IF(COUNTA(A53:F53)=0,"",IF(OR(A53="",B53="",C53="",D53=""),"Missing required",IF(COUNTIF('Challenges'!$A$5:$A$154,A53)=0,"Unknown challenge ID",IF(COUNTIFS($A$5:$A$404,A53,$B$5:$B$404,B53)&gt;1,"Duplicate option order","Ready"))))</x:f>
      </x:c>
    </x:row>
    <x:row r="54">
      <x:c r="A54" s="65"/>
      <x:c r="B54" s="65"/>
      <x:c r="C54" s="65"/>
      <x:c r="D54" s="65"/>
      <x:c r="E54" s="65"/>
      <x:c r="F54" s="65"/>
      <x:c r="G54" s="68" t="str">
        <x:f>IF(COUNTA(A54:F54)=0,"",IF(OR(A54="",B54="",C54="",D54=""),"Missing required",IF(COUNTIF('Challenges'!$A$5:$A$154,A54)=0,"Unknown challenge ID",IF(COUNTIFS($A$5:$A$404,A54,$B$5:$B$404,B54)&gt;1,"Duplicate option order","Ready"))))</x:f>
      </x:c>
    </x:row>
    <x:row r="55">
      <x:c r="A55" s="65"/>
      <x:c r="B55" s="65"/>
      <x:c r="C55" s="65"/>
      <x:c r="D55" s="65"/>
      <x:c r="E55" s="65"/>
      <x:c r="F55" s="65"/>
      <x:c r="G55" s="68" t="str">
        <x:f>IF(COUNTA(A55:F55)=0,"",IF(OR(A55="",B55="",C55="",D55=""),"Missing required",IF(COUNTIF('Challenges'!$A$5:$A$154,A55)=0,"Unknown challenge ID",IF(COUNTIFS($A$5:$A$404,A55,$B$5:$B$404,B55)&gt;1,"Duplicate option order","Ready"))))</x:f>
      </x:c>
    </x:row>
    <x:row r="56">
      <x:c r="A56" s="65"/>
      <x:c r="B56" s="65"/>
      <x:c r="C56" s="65"/>
      <x:c r="D56" s="65"/>
      <x:c r="E56" s="65"/>
      <x:c r="F56" s="65"/>
      <x:c r="G56" s="68" t="str">
        <x:f>IF(COUNTA(A56:F56)=0,"",IF(OR(A56="",B56="",C56="",D56=""),"Missing required",IF(COUNTIF('Challenges'!$A$5:$A$154,A56)=0,"Unknown challenge ID",IF(COUNTIFS($A$5:$A$404,A56,$B$5:$B$404,B56)&gt;1,"Duplicate option order","Ready"))))</x:f>
      </x:c>
    </x:row>
    <x:row r="57">
      <x:c r="A57" s="65"/>
      <x:c r="B57" s="65"/>
      <x:c r="C57" s="65"/>
      <x:c r="D57" s="65"/>
      <x:c r="E57" s="65"/>
      <x:c r="F57" s="65"/>
      <x:c r="G57" s="68" t="str">
        <x:f>IF(COUNTA(A57:F57)=0,"",IF(OR(A57="",B57="",C57="",D57=""),"Missing required",IF(COUNTIF('Challenges'!$A$5:$A$154,A57)=0,"Unknown challenge ID",IF(COUNTIFS($A$5:$A$404,A57,$B$5:$B$404,B57)&gt;1,"Duplicate option order","Ready"))))</x:f>
      </x:c>
    </x:row>
    <x:row r="58">
      <x:c r="A58" s="65"/>
      <x:c r="B58" s="65"/>
      <x:c r="C58" s="65"/>
      <x:c r="D58" s="65"/>
      <x:c r="E58" s="65"/>
      <x:c r="F58" s="65"/>
      <x:c r="G58" s="68" t="str">
        <x:f>IF(COUNTA(A58:F58)=0,"",IF(OR(A58="",B58="",C58="",D58=""),"Missing required",IF(COUNTIF('Challenges'!$A$5:$A$154,A58)=0,"Unknown challenge ID",IF(COUNTIFS($A$5:$A$404,A58,$B$5:$B$404,B58)&gt;1,"Duplicate option order","Ready"))))</x:f>
      </x:c>
    </x:row>
    <x:row r="59">
      <x:c r="A59" s="65"/>
      <x:c r="B59" s="65"/>
      <x:c r="C59" s="65"/>
      <x:c r="D59" s="65"/>
      <x:c r="E59" s="65"/>
      <x:c r="F59" s="65"/>
      <x:c r="G59" s="68" t="str">
        <x:f>IF(COUNTA(A59:F59)=0,"",IF(OR(A59="",B59="",C59="",D59=""),"Missing required",IF(COUNTIF('Challenges'!$A$5:$A$154,A59)=0,"Unknown challenge ID",IF(COUNTIFS($A$5:$A$404,A59,$B$5:$B$404,B59)&gt;1,"Duplicate option order","Ready"))))</x:f>
      </x:c>
    </x:row>
    <x:row r="60">
      <x:c r="A60" s="65"/>
      <x:c r="B60" s="65"/>
      <x:c r="C60" s="65"/>
      <x:c r="D60" s="65"/>
      <x:c r="E60" s="65"/>
      <x:c r="F60" s="65"/>
      <x:c r="G60" s="68" t="str">
        <x:f>IF(COUNTA(A60:F60)=0,"",IF(OR(A60="",B60="",C60="",D60=""),"Missing required",IF(COUNTIF('Challenges'!$A$5:$A$154,A60)=0,"Unknown challenge ID",IF(COUNTIFS($A$5:$A$404,A60,$B$5:$B$404,B60)&gt;1,"Duplicate option order","Ready"))))</x:f>
      </x:c>
    </x:row>
    <x:row r="61">
      <x:c r="A61" s="65"/>
      <x:c r="B61" s="65"/>
      <x:c r="C61" s="65"/>
      <x:c r="D61" s="65"/>
      <x:c r="E61" s="65"/>
      <x:c r="F61" s="65"/>
      <x:c r="G61" s="68" t="str">
        <x:f>IF(COUNTA(A61:F61)=0,"",IF(OR(A61="",B61="",C61="",D61=""),"Missing required",IF(COUNTIF('Challenges'!$A$5:$A$154,A61)=0,"Unknown challenge ID",IF(COUNTIFS($A$5:$A$404,A61,$B$5:$B$404,B61)&gt;1,"Duplicate option order","Ready"))))</x:f>
      </x:c>
    </x:row>
    <x:row r="62">
      <x:c r="A62" s="65"/>
      <x:c r="B62" s="65"/>
      <x:c r="C62" s="65"/>
      <x:c r="D62" s="65"/>
      <x:c r="E62" s="65"/>
      <x:c r="F62" s="65"/>
      <x:c r="G62" s="68" t="str">
        <x:f>IF(COUNTA(A62:F62)=0,"",IF(OR(A62="",B62="",C62="",D62=""),"Missing required",IF(COUNTIF('Challenges'!$A$5:$A$154,A62)=0,"Unknown challenge ID",IF(COUNTIFS($A$5:$A$404,A62,$B$5:$B$404,B62)&gt;1,"Duplicate option order","Ready"))))</x:f>
      </x:c>
    </x:row>
    <x:row r="63">
      <x:c r="A63" s="65"/>
      <x:c r="B63" s="65"/>
      <x:c r="C63" s="65"/>
      <x:c r="D63" s="65"/>
      <x:c r="E63" s="65"/>
      <x:c r="F63" s="65"/>
      <x:c r="G63" s="68" t="str">
        <x:f>IF(COUNTA(A63:F63)=0,"",IF(OR(A63="",B63="",C63="",D63=""),"Missing required",IF(COUNTIF('Challenges'!$A$5:$A$154,A63)=0,"Unknown challenge ID",IF(COUNTIFS($A$5:$A$404,A63,$B$5:$B$404,B63)&gt;1,"Duplicate option order","Ready"))))</x:f>
      </x:c>
    </x:row>
    <x:row r="64">
      <x:c r="A64" s="65"/>
      <x:c r="B64" s="65"/>
      <x:c r="C64" s="65"/>
      <x:c r="D64" s="65"/>
      <x:c r="E64" s="65"/>
      <x:c r="F64" s="65"/>
      <x:c r="G64" s="68" t="str">
        <x:f>IF(COUNTA(A64:F64)=0,"",IF(OR(A64="",B64="",C64="",D64=""),"Missing required",IF(COUNTIF('Challenges'!$A$5:$A$154,A64)=0,"Unknown challenge ID",IF(COUNTIFS($A$5:$A$404,A64,$B$5:$B$404,B64)&gt;1,"Duplicate option order","Ready"))))</x:f>
      </x:c>
    </x:row>
    <x:row r="65">
      <x:c r="A65" s="65"/>
      <x:c r="B65" s="65"/>
      <x:c r="C65" s="65"/>
      <x:c r="D65" s="65"/>
      <x:c r="E65" s="65"/>
      <x:c r="F65" s="65"/>
      <x:c r="G65" s="68" t="str">
        <x:f>IF(COUNTA(A65:F65)=0,"",IF(OR(A65="",B65="",C65="",D65=""),"Missing required",IF(COUNTIF('Challenges'!$A$5:$A$154,A65)=0,"Unknown challenge ID",IF(COUNTIFS($A$5:$A$404,A65,$B$5:$B$404,B65)&gt;1,"Duplicate option order","Ready"))))</x:f>
      </x:c>
    </x:row>
    <x:row r="66">
      <x:c r="A66" s="65"/>
      <x:c r="B66" s="65"/>
      <x:c r="C66" s="65"/>
      <x:c r="D66" s="65"/>
      <x:c r="E66" s="65"/>
      <x:c r="F66" s="65"/>
      <x:c r="G66" s="68" t="str">
        <x:f>IF(COUNTA(A66:F66)=0,"",IF(OR(A66="",B66="",C66="",D66=""),"Missing required",IF(COUNTIF('Challenges'!$A$5:$A$154,A66)=0,"Unknown challenge ID",IF(COUNTIFS($A$5:$A$404,A66,$B$5:$B$404,B66)&gt;1,"Duplicate option order","Ready"))))</x:f>
      </x:c>
    </x:row>
    <x:row r="67">
      <x:c r="A67" s="65"/>
      <x:c r="B67" s="65"/>
      <x:c r="C67" s="65"/>
      <x:c r="D67" s="65"/>
      <x:c r="E67" s="65"/>
      <x:c r="F67" s="65"/>
      <x:c r="G67" s="68" t="str">
        <x:f>IF(COUNTA(A67:F67)=0,"",IF(OR(A67="",B67="",C67="",D67=""),"Missing required",IF(COUNTIF('Challenges'!$A$5:$A$154,A67)=0,"Unknown challenge ID",IF(COUNTIFS($A$5:$A$404,A67,$B$5:$B$404,B67)&gt;1,"Duplicate option order","Ready"))))</x:f>
      </x:c>
    </x:row>
    <x:row r="68">
      <x:c r="A68" s="65"/>
      <x:c r="B68" s="65"/>
      <x:c r="C68" s="65"/>
      <x:c r="D68" s="65"/>
      <x:c r="E68" s="65"/>
      <x:c r="F68" s="65"/>
      <x:c r="G68" s="68" t="str">
        <x:f>IF(COUNTA(A68:F68)=0,"",IF(OR(A68="",B68="",C68="",D68=""),"Missing required",IF(COUNTIF('Challenges'!$A$5:$A$154,A68)=0,"Unknown challenge ID",IF(COUNTIFS($A$5:$A$404,A68,$B$5:$B$404,B68)&gt;1,"Duplicate option order","Ready"))))</x:f>
      </x:c>
    </x:row>
    <x:row r="69">
      <x:c r="A69" s="65"/>
      <x:c r="B69" s="65"/>
      <x:c r="C69" s="65"/>
      <x:c r="D69" s="65"/>
      <x:c r="E69" s="65"/>
      <x:c r="F69" s="65"/>
      <x:c r="G69" s="68" t="str">
        <x:f>IF(COUNTA(A69:F69)=0,"",IF(OR(A69="",B69="",C69="",D69=""),"Missing required",IF(COUNTIF('Challenges'!$A$5:$A$154,A69)=0,"Unknown challenge ID",IF(COUNTIFS($A$5:$A$404,A69,$B$5:$B$404,B69)&gt;1,"Duplicate option order","Ready"))))</x:f>
      </x:c>
    </x:row>
    <x:row r="70">
      <x:c r="A70" s="65"/>
      <x:c r="B70" s="65"/>
      <x:c r="C70" s="65"/>
      <x:c r="D70" s="65"/>
      <x:c r="E70" s="65"/>
      <x:c r="F70" s="65"/>
      <x:c r="G70" s="68" t="str">
        <x:f>IF(COUNTA(A70:F70)=0,"",IF(OR(A70="",B70="",C70="",D70=""),"Missing required",IF(COUNTIF('Challenges'!$A$5:$A$154,A70)=0,"Unknown challenge ID",IF(COUNTIFS($A$5:$A$404,A70,$B$5:$B$404,B70)&gt;1,"Duplicate option order","Ready"))))</x:f>
      </x:c>
    </x:row>
    <x:row r="71">
      <x:c r="A71" s="65"/>
      <x:c r="B71" s="65"/>
      <x:c r="C71" s="65"/>
      <x:c r="D71" s="65"/>
      <x:c r="E71" s="65"/>
      <x:c r="F71" s="65"/>
      <x:c r="G71" s="68" t="str">
        <x:f>IF(COUNTA(A71:F71)=0,"",IF(OR(A71="",B71="",C71="",D71=""),"Missing required",IF(COUNTIF('Challenges'!$A$5:$A$154,A71)=0,"Unknown challenge ID",IF(COUNTIFS($A$5:$A$404,A71,$B$5:$B$404,B71)&gt;1,"Duplicate option order","Ready"))))</x:f>
      </x:c>
    </x:row>
    <x:row r="72">
      <x:c r="A72" s="65"/>
      <x:c r="B72" s="65"/>
      <x:c r="C72" s="65"/>
      <x:c r="D72" s="65"/>
      <x:c r="E72" s="65"/>
      <x:c r="F72" s="65"/>
      <x:c r="G72" s="68" t="str">
        <x:f>IF(COUNTA(A72:F72)=0,"",IF(OR(A72="",B72="",C72="",D72=""),"Missing required",IF(COUNTIF('Challenges'!$A$5:$A$154,A72)=0,"Unknown challenge ID",IF(COUNTIFS($A$5:$A$404,A72,$B$5:$B$404,B72)&gt;1,"Duplicate option order","Ready"))))</x:f>
      </x:c>
    </x:row>
    <x:row r="73">
      <x:c r="A73" s="65"/>
      <x:c r="B73" s="65"/>
      <x:c r="C73" s="65"/>
      <x:c r="D73" s="65"/>
      <x:c r="E73" s="65"/>
      <x:c r="F73" s="65"/>
      <x:c r="G73" s="68" t="str">
        <x:f>IF(COUNTA(A73:F73)=0,"",IF(OR(A73="",B73="",C73="",D73=""),"Missing required",IF(COUNTIF('Challenges'!$A$5:$A$154,A73)=0,"Unknown challenge ID",IF(COUNTIFS($A$5:$A$404,A73,$B$5:$B$404,B73)&gt;1,"Duplicate option order","Ready"))))</x:f>
      </x:c>
    </x:row>
    <x:row r="74">
      <x:c r="A74" s="65"/>
      <x:c r="B74" s="65"/>
      <x:c r="C74" s="65"/>
      <x:c r="D74" s="65"/>
      <x:c r="E74" s="65"/>
      <x:c r="F74" s="65"/>
      <x:c r="G74" s="68" t="str">
        <x:f>IF(COUNTA(A74:F74)=0,"",IF(OR(A74="",B74="",C74="",D74=""),"Missing required",IF(COUNTIF('Challenges'!$A$5:$A$154,A74)=0,"Unknown challenge ID",IF(COUNTIFS($A$5:$A$404,A74,$B$5:$B$404,B74)&gt;1,"Duplicate option order","Ready"))))</x:f>
      </x:c>
    </x:row>
    <x:row r="75">
      <x:c r="A75" s="65"/>
      <x:c r="B75" s="65"/>
      <x:c r="C75" s="65"/>
      <x:c r="D75" s="65"/>
      <x:c r="E75" s="65"/>
      <x:c r="F75" s="65"/>
      <x:c r="G75" s="68" t="str">
        <x:f>IF(COUNTA(A75:F75)=0,"",IF(OR(A75="",B75="",C75="",D75=""),"Missing required",IF(COUNTIF('Challenges'!$A$5:$A$154,A75)=0,"Unknown challenge ID",IF(COUNTIFS($A$5:$A$404,A75,$B$5:$B$404,B75)&gt;1,"Duplicate option order","Ready"))))</x:f>
      </x:c>
    </x:row>
    <x:row r="76">
      <x:c r="A76" s="65"/>
      <x:c r="B76" s="65"/>
      <x:c r="C76" s="65"/>
      <x:c r="D76" s="65"/>
      <x:c r="E76" s="65"/>
      <x:c r="F76" s="65"/>
      <x:c r="G76" s="68" t="str">
        <x:f>IF(COUNTA(A76:F76)=0,"",IF(OR(A76="",B76="",C76="",D76=""),"Missing required",IF(COUNTIF('Challenges'!$A$5:$A$154,A76)=0,"Unknown challenge ID",IF(COUNTIFS($A$5:$A$404,A76,$B$5:$B$404,B76)&gt;1,"Duplicate option order","Ready"))))</x:f>
      </x:c>
    </x:row>
    <x:row r="77">
      <x:c r="A77" s="65"/>
      <x:c r="B77" s="65"/>
      <x:c r="C77" s="65"/>
      <x:c r="D77" s="65"/>
      <x:c r="E77" s="65"/>
      <x:c r="F77" s="65"/>
      <x:c r="G77" s="68" t="str">
        <x:f>IF(COUNTA(A77:F77)=0,"",IF(OR(A77="",B77="",C77="",D77=""),"Missing required",IF(COUNTIF('Challenges'!$A$5:$A$154,A77)=0,"Unknown challenge ID",IF(COUNTIFS($A$5:$A$404,A77,$B$5:$B$404,B77)&gt;1,"Duplicate option order","Ready"))))</x:f>
      </x:c>
    </x:row>
    <x:row r="78">
      <x:c r="A78" s="65"/>
      <x:c r="B78" s="65"/>
      <x:c r="C78" s="65"/>
      <x:c r="D78" s="65"/>
      <x:c r="E78" s="65"/>
      <x:c r="F78" s="65"/>
      <x:c r="G78" s="68" t="str">
        <x:f>IF(COUNTA(A78:F78)=0,"",IF(OR(A78="",B78="",C78="",D78=""),"Missing required",IF(COUNTIF('Challenges'!$A$5:$A$154,A78)=0,"Unknown challenge ID",IF(COUNTIFS($A$5:$A$404,A78,$B$5:$B$404,B78)&gt;1,"Duplicate option order","Ready"))))</x:f>
      </x:c>
    </x:row>
    <x:row r="79">
      <x:c r="A79" s="65"/>
      <x:c r="B79" s="65"/>
      <x:c r="C79" s="65"/>
      <x:c r="D79" s="65"/>
      <x:c r="E79" s="65"/>
      <x:c r="F79" s="65"/>
      <x:c r="G79" s="68" t="str">
        <x:f>IF(COUNTA(A79:F79)=0,"",IF(OR(A79="",B79="",C79="",D79=""),"Missing required",IF(COUNTIF('Challenges'!$A$5:$A$154,A79)=0,"Unknown challenge ID",IF(COUNTIFS($A$5:$A$404,A79,$B$5:$B$404,B79)&gt;1,"Duplicate option order","Ready"))))</x:f>
      </x:c>
    </x:row>
    <x:row r="80">
      <x:c r="A80" s="65"/>
      <x:c r="B80" s="65"/>
      <x:c r="C80" s="65"/>
      <x:c r="D80" s="65"/>
      <x:c r="E80" s="65"/>
      <x:c r="F80" s="65"/>
      <x:c r="G80" s="68" t="str">
        <x:f>IF(COUNTA(A80:F80)=0,"",IF(OR(A80="",B80="",C80="",D80=""),"Missing required",IF(COUNTIF('Challenges'!$A$5:$A$154,A80)=0,"Unknown challenge ID",IF(COUNTIFS($A$5:$A$404,A80,$B$5:$B$404,B80)&gt;1,"Duplicate option order","Ready"))))</x:f>
      </x:c>
    </x:row>
    <x:row r="81">
      <x:c r="A81" s="65"/>
      <x:c r="B81" s="65"/>
      <x:c r="C81" s="65"/>
      <x:c r="D81" s="65"/>
      <x:c r="E81" s="65"/>
      <x:c r="F81" s="65"/>
      <x:c r="G81" s="68" t="str">
        <x:f>IF(COUNTA(A81:F81)=0,"",IF(OR(A81="",B81="",C81="",D81=""),"Missing required",IF(COUNTIF('Challenges'!$A$5:$A$154,A81)=0,"Unknown challenge ID",IF(COUNTIFS($A$5:$A$404,A81,$B$5:$B$404,B81)&gt;1,"Duplicate option order","Ready"))))</x:f>
      </x:c>
    </x:row>
    <x:row r="82">
      <x:c r="A82" s="65"/>
      <x:c r="B82" s="65"/>
      <x:c r="C82" s="65"/>
      <x:c r="D82" s="65"/>
      <x:c r="E82" s="65"/>
      <x:c r="F82" s="65"/>
      <x:c r="G82" s="68" t="str">
        <x:f>IF(COUNTA(A82:F82)=0,"",IF(OR(A82="",B82="",C82="",D82=""),"Missing required",IF(COUNTIF('Challenges'!$A$5:$A$154,A82)=0,"Unknown challenge ID",IF(COUNTIFS($A$5:$A$404,A82,$B$5:$B$404,B82)&gt;1,"Duplicate option order","Ready"))))</x:f>
      </x:c>
    </x:row>
    <x:row r="83">
      <x:c r="A83" s="65"/>
      <x:c r="B83" s="65"/>
      <x:c r="C83" s="65"/>
      <x:c r="D83" s="65"/>
      <x:c r="E83" s="65"/>
      <x:c r="F83" s="65"/>
      <x:c r="G83" s="68" t="str">
        <x:f>IF(COUNTA(A83:F83)=0,"",IF(OR(A83="",B83="",C83="",D83=""),"Missing required",IF(COUNTIF('Challenges'!$A$5:$A$154,A83)=0,"Unknown challenge ID",IF(COUNTIFS($A$5:$A$404,A83,$B$5:$B$404,B83)&gt;1,"Duplicate option order","Ready"))))</x:f>
      </x:c>
    </x:row>
    <x:row r="84">
      <x:c r="A84" s="65"/>
      <x:c r="B84" s="65"/>
      <x:c r="C84" s="65"/>
      <x:c r="D84" s="65"/>
      <x:c r="E84" s="65"/>
      <x:c r="F84" s="65"/>
      <x:c r="G84" s="68" t="str">
        <x:f>IF(COUNTA(A84:F84)=0,"",IF(OR(A84="",B84="",C84="",D84=""),"Missing required",IF(COUNTIF('Challenges'!$A$5:$A$154,A84)=0,"Unknown challenge ID",IF(COUNTIFS($A$5:$A$404,A84,$B$5:$B$404,B84)&gt;1,"Duplicate option order","Ready"))))</x:f>
      </x:c>
    </x:row>
    <x:row r="85">
      <x:c r="A85" s="65"/>
      <x:c r="B85" s="65"/>
      <x:c r="C85" s="65"/>
      <x:c r="D85" s="65"/>
      <x:c r="E85" s="65"/>
      <x:c r="F85" s="65"/>
      <x:c r="G85" s="68" t="str">
        <x:f>IF(COUNTA(A85:F85)=0,"",IF(OR(A85="",B85="",C85="",D85=""),"Missing required",IF(COUNTIF('Challenges'!$A$5:$A$154,A85)=0,"Unknown challenge ID",IF(COUNTIFS($A$5:$A$404,A85,$B$5:$B$404,B85)&gt;1,"Duplicate option order","Ready"))))</x:f>
      </x:c>
    </x:row>
    <x:row r="86">
      <x:c r="A86" s="65"/>
      <x:c r="B86" s="65"/>
      <x:c r="C86" s="65"/>
      <x:c r="D86" s="65"/>
      <x:c r="E86" s="65"/>
      <x:c r="F86" s="65"/>
      <x:c r="G86" s="68" t="str">
        <x:f>IF(COUNTA(A86:F86)=0,"",IF(OR(A86="",B86="",C86="",D86=""),"Missing required",IF(COUNTIF('Challenges'!$A$5:$A$154,A86)=0,"Unknown challenge ID",IF(COUNTIFS($A$5:$A$404,A86,$B$5:$B$404,B86)&gt;1,"Duplicate option order","Ready"))))</x:f>
      </x:c>
    </x:row>
    <x:row r="87">
      <x:c r="A87" s="65"/>
      <x:c r="B87" s="65"/>
      <x:c r="C87" s="65"/>
      <x:c r="D87" s="65"/>
      <x:c r="E87" s="65"/>
      <x:c r="F87" s="65"/>
      <x:c r="G87" s="68" t="str">
        <x:f>IF(COUNTA(A87:F87)=0,"",IF(OR(A87="",B87="",C87="",D87=""),"Missing required",IF(COUNTIF('Challenges'!$A$5:$A$154,A87)=0,"Unknown challenge ID",IF(COUNTIFS($A$5:$A$404,A87,$B$5:$B$404,B87)&gt;1,"Duplicate option order","Ready"))))</x:f>
      </x:c>
    </x:row>
    <x:row r="88">
      <x:c r="A88" s="65"/>
      <x:c r="B88" s="65"/>
      <x:c r="C88" s="65"/>
      <x:c r="D88" s="65"/>
      <x:c r="E88" s="65"/>
      <x:c r="F88" s="65"/>
      <x:c r="G88" s="68" t="str">
        <x:f>IF(COUNTA(A88:F88)=0,"",IF(OR(A88="",B88="",C88="",D88=""),"Missing required",IF(COUNTIF('Challenges'!$A$5:$A$154,A88)=0,"Unknown challenge ID",IF(COUNTIFS($A$5:$A$404,A88,$B$5:$B$404,B88)&gt;1,"Duplicate option order","Ready"))))</x:f>
      </x:c>
    </x:row>
    <x:row r="89">
      <x:c r="A89" s="65"/>
      <x:c r="B89" s="65"/>
      <x:c r="C89" s="65"/>
      <x:c r="D89" s="65"/>
      <x:c r="E89" s="65"/>
      <x:c r="F89" s="65"/>
      <x:c r="G89" s="68" t="str">
        <x:f>IF(COUNTA(A89:F89)=0,"",IF(OR(A89="",B89="",C89="",D89=""),"Missing required",IF(COUNTIF('Challenges'!$A$5:$A$154,A89)=0,"Unknown challenge ID",IF(COUNTIFS($A$5:$A$404,A89,$B$5:$B$404,B89)&gt;1,"Duplicate option order","Ready"))))</x:f>
      </x:c>
    </x:row>
    <x:row r="90">
      <x:c r="A90" s="65"/>
      <x:c r="B90" s="65"/>
      <x:c r="C90" s="65"/>
      <x:c r="D90" s="65"/>
      <x:c r="E90" s="65"/>
      <x:c r="F90" s="65"/>
      <x:c r="G90" s="68" t="str">
        <x:f>IF(COUNTA(A90:F90)=0,"",IF(OR(A90="",B90="",C90="",D90=""),"Missing required",IF(COUNTIF('Challenges'!$A$5:$A$154,A90)=0,"Unknown challenge ID",IF(COUNTIFS($A$5:$A$404,A90,$B$5:$B$404,B90)&gt;1,"Duplicate option order","Ready"))))</x:f>
      </x:c>
    </x:row>
    <x:row r="91">
      <x:c r="A91" s="65"/>
      <x:c r="B91" s="65"/>
      <x:c r="C91" s="65"/>
      <x:c r="D91" s="65"/>
      <x:c r="E91" s="65"/>
      <x:c r="F91" s="65"/>
      <x:c r="G91" s="68" t="str">
        <x:f>IF(COUNTA(A91:F91)=0,"",IF(OR(A91="",B91="",C91="",D91=""),"Missing required",IF(COUNTIF('Challenges'!$A$5:$A$154,A91)=0,"Unknown challenge ID",IF(COUNTIFS($A$5:$A$404,A91,$B$5:$B$404,B91)&gt;1,"Duplicate option order","Ready"))))</x:f>
      </x:c>
    </x:row>
    <x:row r="92">
      <x:c r="A92" s="65"/>
      <x:c r="B92" s="65"/>
      <x:c r="C92" s="65"/>
      <x:c r="D92" s="65"/>
      <x:c r="E92" s="65"/>
      <x:c r="F92" s="65"/>
      <x:c r="G92" s="68" t="str">
        <x:f>IF(COUNTA(A92:F92)=0,"",IF(OR(A92="",B92="",C92="",D92=""),"Missing required",IF(COUNTIF('Challenges'!$A$5:$A$154,A92)=0,"Unknown challenge ID",IF(COUNTIFS($A$5:$A$404,A92,$B$5:$B$404,B92)&gt;1,"Duplicate option order","Ready"))))</x:f>
      </x:c>
    </x:row>
    <x:row r="93">
      <x:c r="A93" s="65"/>
      <x:c r="B93" s="65"/>
      <x:c r="C93" s="65"/>
      <x:c r="D93" s="65"/>
      <x:c r="E93" s="65"/>
      <x:c r="F93" s="65"/>
      <x:c r="G93" s="68" t="str">
        <x:f>IF(COUNTA(A93:F93)=0,"",IF(OR(A93="",B93="",C93="",D93=""),"Missing required",IF(COUNTIF('Challenges'!$A$5:$A$154,A93)=0,"Unknown challenge ID",IF(COUNTIFS($A$5:$A$404,A93,$B$5:$B$404,B93)&gt;1,"Duplicate option order","Ready"))))</x:f>
      </x:c>
    </x:row>
    <x:row r="94">
      <x:c r="A94" s="65"/>
      <x:c r="B94" s="65"/>
      <x:c r="C94" s="65"/>
      <x:c r="D94" s="65"/>
      <x:c r="E94" s="65"/>
      <x:c r="F94" s="65"/>
      <x:c r="G94" s="68" t="str">
        <x:f>IF(COUNTA(A94:F94)=0,"",IF(OR(A94="",B94="",C94="",D94=""),"Missing required",IF(COUNTIF('Challenges'!$A$5:$A$154,A94)=0,"Unknown challenge ID",IF(COUNTIFS($A$5:$A$404,A94,$B$5:$B$404,B94)&gt;1,"Duplicate option order","Ready"))))</x:f>
      </x:c>
    </x:row>
    <x:row r="95">
      <x:c r="A95" s="65"/>
      <x:c r="B95" s="65"/>
      <x:c r="C95" s="65"/>
      <x:c r="D95" s="65"/>
      <x:c r="E95" s="65"/>
      <x:c r="F95" s="65"/>
      <x:c r="G95" s="68" t="str">
        <x:f>IF(COUNTA(A95:F95)=0,"",IF(OR(A95="",B95="",C95="",D95=""),"Missing required",IF(COUNTIF('Challenges'!$A$5:$A$154,A95)=0,"Unknown challenge ID",IF(COUNTIFS($A$5:$A$404,A95,$B$5:$B$404,B95)&gt;1,"Duplicate option order","Ready"))))</x:f>
      </x:c>
    </x:row>
    <x:row r="96">
      <x:c r="A96" s="65"/>
      <x:c r="B96" s="65"/>
      <x:c r="C96" s="65"/>
      <x:c r="D96" s="65"/>
      <x:c r="E96" s="65"/>
      <x:c r="F96" s="65"/>
      <x:c r="G96" s="68" t="str">
        <x:f>IF(COUNTA(A96:F96)=0,"",IF(OR(A96="",B96="",C96="",D96=""),"Missing required",IF(COUNTIF('Challenges'!$A$5:$A$154,A96)=0,"Unknown challenge ID",IF(COUNTIFS($A$5:$A$404,A96,$B$5:$B$404,B96)&gt;1,"Duplicate option order","Ready"))))</x:f>
      </x:c>
    </x:row>
    <x:row r="97">
      <x:c r="A97" s="65"/>
      <x:c r="B97" s="65"/>
      <x:c r="C97" s="65"/>
      <x:c r="D97" s="65"/>
      <x:c r="E97" s="65"/>
      <x:c r="F97" s="65"/>
      <x:c r="G97" s="68" t="str">
        <x:f>IF(COUNTA(A97:F97)=0,"",IF(OR(A97="",B97="",C97="",D97=""),"Missing required",IF(COUNTIF('Challenges'!$A$5:$A$154,A97)=0,"Unknown challenge ID",IF(COUNTIFS($A$5:$A$404,A97,$B$5:$B$404,B97)&gt;1,"Duplicate option order","Ready"))))</x:f>
      </x:c>
    </x:row>
    <x:row r="98">
      <x:c r="A98" s="65"/>
      <x:c r="B98" s="65"/>
      <x:c r="C98" s="65"/>
      <x:c r="D98" s="65"/>
      <x:c r="E98" s="65"/>
      <x:c r="F98" s="65"/>
      <x:c r="G98" s="68" t="str">
        <x:f>IF(COUNTA(A98:F98)=0,"",IF(OR(A98="",B98="",C98="",D98=""),"Missing required",IF(COUNTIF('Challenges'!$A$5:$A$154,A98)=0,"Unknown challenge ID",IF(COUNTIFS($A$5:$A$404,A98,$B$5:$B$404,B98)&gt;1,"Duplicate option order","Ready"))))</x:f>
      </x:c>
    </x:row>
    <x:row r="99">
      <x:c r="A99" s="65"/>
      <x:c r="B99" s="65"/>
      <x:c r="C99" s="65"/>
      <x:c r="D99" s="65"/>
      <x:c r="E99" s="65"/>
      <x:c r="F99" s="65"/>
      <x:c r="G99" s="68" t="str">
        <x:f>IF(COUNTA(A99:F99)=0,"",IF(OR(A99="",B99="",C99="",D99=""),"Missing required",IF(COUNTIF('Challenges'!$A$5:$A$154,A99)=0,"Unknown challenge ID",IF(COUNTIFS($A$5:$A$404,A99,$B$5:$B$404,B99)&gt;1,"Duplicate option order","Ready"))))</x:f>
      </x:c>
    </x:row>
    <x:row r="100">
      <x:c r="A100" s="65"/>
      <x:c r="B100" s="65"/>
      <x:c r="C100" s="65"/>
      <x:c r="D100" s="65"/>
      <x:c r="E100" s="65"/>
      <x:c r="F100" s="65"/>
      <x:c r="G100" s="68" t="str">
        <x:f>IF(COUNTA(A100:F100)=0,"",IF(OR(A100="",B100="",C100="",D100=""),"Missing required",IF(COUNTIF('Challenges'!$A$5:$A$154,A100)=0,"Unknown challenge ID",IF(COUNTIFS($A$5:$A$404,A100,$B$5:$B$404,B100)&gt;1,"Duplicate option order","Ready"))))</x:f>
      </x:c>
    </x:row>
    <x:row r="101">
      <x:c r="A101" s="65"/>
      <x:c r="B101" s="65"/>
      <x:c r="C101" s="65"/>
      <x:c r="D101" s="65"/>
      <x:c r="E101" s="65"/>
      <x:c r="F101" s="65"/>
      <x:c r="G101" s="68" t="str">
        <x:f>IF(COUNTA(A101:F101)=0,"",IF(OR(A101="",B101="",C101="",D101=""),"Missing required",IF(COUNTIF('Challenges'!$A$5:$A$154,A101)=0,"Unknown challenge ID",IF(COUNTIFS($A$5:$A$404,A101,$B$5:$B$404,B101)&gt;1,"Duplicate option order","Ready"))))</x:f>
      </x:c>
    </x:row>
    <x:row r="102">
      <x:c r="A102" s="65"/>
      <x:c r="B102" s="65"/>
      <x:c r="C102" s="65"/>
      <x:c r="D102" s="65"/>
      <x:c r="E102" s="65"/>
      <x:c r="F102" s="65"/>
      <x:c r="G102" s="68" t="str">
        <x:f>IF(COUNTA(A102:F102)=0,"",IF(OR(A102="",B102="",C102="",D102=""),"Missing required",IF(COUNTIF('Challenges'!$A$5:$A$154,A102)=0,"Unknown challenge ID",IF(COUNTIFS($A$5:$A$404,A102,$B$5:$B$404,B102)&gt;1,"Duplicate option order","Ready"))))</x:f>
      </x:c>
    </x:row>
    <x:row r="103">
      <x:c r="A103" s="65"/>
      <x:c r="B103" s="65"/>
      <x:c r="C103" s="65"/>
      <x:c r="D103" s="65"/>
      <x:c r="E103" s="65"/>
      <x:c r="F103" s="65"/>
      <x:c r="G103" s="68" t="str">
        <x:f>IF(COUNTA(A103:F103)=0,"",IF(OR(A103="",B103="",C103="",D103=""),"Missing required",IF(COUNTIF('Challenges'!$A$5:$A$154,A103)=0,"Unknown challenge ID",IF(COUNTIFS($A$5:$A$404,A103,$B$5:$B$404,B103)&gt;1,"Duplicate option order","Ready"))))</x:f>
      </x:c>
    </x:row>
    <x:row r="104">
      <x:c r="A104" s="65"/>
      <x:c r="B104" s="65"/>
      <x:c r="C104" s="65"/>
      <x:c r="D104" s="65"/>
      <x:c r="E104" s="65"/>
      <x:c r="F104" s="65"/>
      <x:c r="G104" s="68" t="str">
        <x:f>IF(COUNTA(A104:F104)=0,"",IF(OR(A104="",B104="",C104="",D104=""),"Missing required",IF(COUNTIF('Challenges'!$A$5:$A$154,A104)=0,"Unknown challenge ID",IF(COUNTIFS($A$5:$A$404,A104,$B$5:$B$404,B104)&gt;1,"Duplicate option order","Ready"))))</x:f>
      </x:c>
    </x:row>
    <x:row r="105">
      <x:c r="A105" s="65"/>
      <x:c r="B105" s="65"/>
      <x:c r="C105" s="65"/>
      <x:c r="D105" s="65"/>
      <x:c r="E105" s="65"/>
      <x:c r="F105" s="65"/>
      <x:c r="G105" s="68" t="str">
        <x:f>IF(COUNTA(A105:F105)=0,"",IF(OR(A105="",B105="",C105="",D105=""),"Missing required",IF(COUNTIF('Challenges'!$A$5:$A$154,A105)=0,"Unknown challenge ID",IF(COUNTIFS($A$5:$A$404,A105,$B$5:$B$404,B105)&gt;1,"Duplicate option order","Ready"))))</x:f>
      </x:c>
    </x:row>
    <x:row r="106">
      <x:c r="A106" s="65"/>
      <x:c r="B106" s="65"/>
      <x:c r="C106" s="65"/>
      <x:c r="D106" s="65"/>
      <x:c r="E106" s="65"/>
      <x:c r="F106" s="65"/>
      <x:c r="G106" s="68" t="str">
        <x:f>IF(COUNTA(A106:F106)=0,"",IF(OR(A106="",B106="",C106="",D106=""),"Missing required",IF(COUNTIF('Challenges'!$A$5:$A$154,A106)=0,"Unknown challenge ID",IF(COUNTIFS($A$5:$A$404,A106,$B$5:$B$404,B106)&gt;1,"Duplicate option order","Ready"))))</x:f>
      </x:c>
    </x:row>
    <x:row r="107">
      <x:c r="A107" s="65"/>
      <x:c r="B107" s="65"/>
      <x:c r="C107" s="65"/>
      <x:c r="D107" s="65"/>
      <x:c r="E107" s="65"/>
      <x:c r="F107" s="65"/>
      <x:c r="G107" s="68" t="str">
        <x:f>IF(COUNTA(A107:F107)=0,"",IF(OR(A107="",B107="",C107="",D107=""),"Missing required",IF(COUNTIF('Challenges'!$A$5:$A$154,A107)=0,"Unknown challenge ID",IF(COUNTIFS($A$5:$A$404,A107,$B$5:$B$404,B107)&gt;1,"Duplicate option order","Ready"))))</x:f>
      </x:c>
    </x:row>
    <x:row r="108">
      <x:c r="A108" s="65"/>
      <x:c r="B108" s="65"/>
      <x:c r="C108" s="65"/>
      <x:c r="D108" s="65"/>
      <x:c r="E108" s="65"/>
      <x:c r="F108" s="65"/>
      <x:c r="G108" s="68" t="str">
        <x:f>IF(COUNTA(A108:F108)=0,"",IF(OR(A108="",B108="",C108="",D108=""),"Missing required",IF(COUNTIF('Challenges'!$A$5:$A$154,A108)=0,"Unknown challenge ID",IF(COUNTIFS($A$5:$A$404,A108,$B$5:$B$404,B108)&gt;1,"Duplicate option order","Ready"))))</x:f>
      </x:c>
    </x:row>
    <x:row r="109">
      <x:c r="A109" s="65"/>
      <x:c r="B109" s="65"/>
      <x:c r="C109" s="65"/>
      <x:c r="D109" s="65"/>
      <x:c r="E109" s="65"/>
      <x:c r="F109" s="65"/>
      <x:c r="G109" s="68" t="str">
        <x:f>IF(COUNTA(A109:F109)=0,"",IF(OR(A109="",B109="",C109="",D109=""),"Missing required",IF(COUNTIF('Challenges'!$A$5:$A$154,A109)=0,"Unknown challenge ID",IF(COUNTIFS($A$5:$A$404,A109,$B$5:$B$404,B109)&gt;1,"Duplicate option order","Ready"))))</x:f>
      </x:c>
    </x:row>
    <x:row r="110">
      <x:c r="A110" s="65"/>
      <x:c r="B110" s="65"/>
      <x:c r="C110" s="65"/>
      <x:c r="D110" s="65"/>
      <x:c r="E110" s="65"/>
      <x:c r="F110" s="65"/>
      <x:c r="G110" s="68" t="str">
        <x:f>IF(COUNTA(A110:F110)=0,"",IF(OR(A110="",B110="",C110="",D110=""),"Missing required",IF(COUNTIF('Challenges'!$A$5:$A$154,A110)=0,"Unknown challenge ID",IF(COUNTIFS($A$5:$A$404,A110,$B$5:$B$404,B110)&gt;1,"Duplicate option order","Ready"))))</x:f>
      </x:c>
    </x:row>
    <x:row r="111">
      <x:c r="A111" s="65"/>
      <x:c r="B111" s="65"/>
      <x:c r="C111" s="65"/>
      <x:c r="D111" s="65"/>
      <x:c r="E111" s="65"/>
      <x:c r="F111" s="65"/>
      <x:c r="G111" s="68" t="str">
        <x:f>IF(COUNTA(A111:F111)=0,"",IF(OR(A111="",B111="",C111="",D111=""),"Missing required",IF(COUNTIF('Challenges'!$A$5:$A$154,A111)=0,"Unknown challenge ID",IF(COUNTIFS($A$5:$A$404,A111,$B$5:$B$404,B111)&gt;1,"Duplicate option order","Ready"))))</x:f>
      </x:c>
    </x:row>
    <x:row r="112">
      <x:c r="A112" s="65"/>
      <x:c r="B112" s="65"/>
      <x:c r="C112" s="65"/>
      <x:c r="D112" s="65"/>
      <x:c r="E112" s="65"/>
      <x:c r="F112" s="65"/>
      <x:c r="G112" s="68" t="str">
        <x:f>IF(COUNTA(A112:F112)=0,"",IF(OR(A112="",B112="",C112="",D112=""),"Missing required",IF(COUNTIF('Challenges'!$A$5:$A$154,A112)=0,"Unknown challenge ID",IF(COUNTIFS($A$5:$A$404,A112,$B$5:$B$404,B112)&gt;1,"Duplicate option order","Ready"))))</x:f>
      </x:c>
    </x:row>
    <x:row r="113">
      <x:c r="A113" s="65"/>
      <x:c r="B113" s="65"/>
      <x:c r="C113" s="65"/>
      <x:c r="D113" s="65"/>
      <x:c r="E113" s="65"/>
      <x:c r="F113" s="65"/>
      <x:c r="G113" s="68" t="str">
        <x:f>IF(COUNTA(A113:F113)=0,"",IF(OR(A113="",B113="",C113="",D113=""),"Missing required",IF(COUNTIF('Challenges'!$A$5:$A$154,A113)=0,"Unknown challenge ID",IF(COUNTIFS($A$5:$A$404,A113,$B$5:$B$404,B113)&gt;1,"Duplicate option order","Ready"))))</x:f>
      </x:c>
    </x:row>
    <x:row r="114">
      <x:c r="A114" s="65"/>
      <x:c r="B114" s="65"/>
      <x:c r="C114" s="65"/>
      <x:c r="D114" s="65"/>
      <x:c r="E114" s="65"/>
      <x:c r="F114" s="65"/>
      <x:c r="G114" s="68" t="str">
        <x:f>IF(COUNTA(A114:F114)=0,"",IF(OR(A114="",B114="",C114="",D114=""),"Missing required",IF(COUNTIF('Challenges'!$A$5:$A$154,A114)=0,"Unknown challenge ID",IF(COUNTIFS($A$5:$A$404,A114,$B$5:$B$404,B114)&gt;1,"Duplicate option order","Ready"))))</x:f>
      </x:c>
    </x:row>
    <x:row r="115">
      <x:c r="A115" s="65"/>
      <x:c r="B115" s="65"/>
      <x:c r="C115" s="65"/>
      <x:c r="D115" s="65"/>
      <x:c r="E115" s="65"/>
      <x:c r="F115" s="65"/>
      <x:c r="G115" s="68" t="str">
        <x:f>IF(COUNTA(A115:F115)=0,"",IF(OR(A115="",B115="",C115="",D115=""),"Missing required",IF(COUNTIF('Challenges'!$A$5:$A$154,A115)=0,"Unknown challenge ID",IF(COUNTIFS($A$5:$A$404,A115,$B$5:$B$404,B115)&gt;1,"Duplicate option order","Ready"))))</x:f>
      </x:c>
    </x:row>
    <x:row r="116">
      <x:c r="A116" s="65"/>
      <x:c r="B116" s="65"/>
      <x:c r="C116" s="65"/>
      <x:c r="D116" s="65"/>
      <x:c r="E116" s="65"/>
      <x:c r="F116" s="65"/>
      <x:c r="G116" s="68" t="str">
        <x:f>IF(COUNTA(A116:F116)=0,"",IF(OR(A116="",B116="",C116="",D116=""),"Missing required",IF(COUNTIF('Challenges'!$A$5:$A$154,A116)=0,"Unknown challenge ID",IF(COUNTIFS($A$5:$A$404,A116,$B$5:$B$404,B116)&gt;1,"Duplicate option order","Ready"))))</x:f>
      </x:c>
    </x:row>
    <x:row r="117">
      <x:c r="A117" s="65"/>
      <x:c r="B117" s="65"/>
      <x:c r="C117" s="65"/>
      <x:c r="D117" s="65"/>
      <x:c r="E117" s="65"/>
      <x:c r="F117" s="65"/>
      <x:c r="G117" s="68" t="str">
        <x:f>IF(COUNTA(A117:F117)=0,"",IF(OR(A117="",B117="",C117="",D117=""),"Missing required",IF(COUNTIF('Challenges'!$A$5:$A$154,A117)=0,"Unknown challenge ID",IF(COUNTIFS($A$5:$A$404,A117,$B$5:$B$404,B117)&gt;1,"Duplicate option order","Ready"))))</x:f>
      </x:c>
    </x:row>
    <x:row r="118">
      <x:c r="A118" s="65"/>
      <x:c r="B118" s="65"/>
      <x:c r="C118" s="65"/>
      <x:c r="D118" s="65"/>
      <x:c r="E118" s="65"/>
      <x:c r="F118" s="65"/>
      <x:c r="G118" s="68" t="str">
        <x:f>IF(COUNTA(A118:F118)=0,"",IF(OR(A118="",B118="",C118="",D118=""),"Missing required",IF(COUNTIF('Challenges'!$A$5:$A$154,A118)=0,"Unknown challenge ID",IF(COUNTIFS($A$5:$A$404,A118,$B$5:$B$404,B118)&gt;1,"Duplicate option order","Ready"))))</x:f>
      </x:c>
    </x:row>
    <x:row r="119">
      <x:c r="A119" s="65"/>
      <x:c r="B119" s="65"/>
      <x:c r="C119" s="65"/>
      <x:c r="D119" s="65"/>
      <x:c r="E119" s="65"/>
      <x:c r="F119" s="65"/>
      <x:c r="G119" s="68" t="str">
        <x:f>IF(COUNTA(A119:F119)=0,"",IF(OR(A119="",B119="",C119="",D119=""),"Missing required",IF(COUNTIF('Challenges'!$A$5:$A$154,A119)=0,"Unknown challenge ID",IF(COUNTIFS($A$5:$A$404,A119,$B$5:$B$404,B119)&gt;1,"Duplicate option order","Ready"))))</x:f>
      </x:c>
    </x:row>
    <x:row r="120">
      <x:c r="A120" s="65"/>
      <x:c r="B120" s="65"/>
      <x:c r="C120" s="65"/>
      <x:c r="D120" s="65"/>
      <x:c r="E120" s="65"/>
      <x:c r="F120" s="65"/>
      <x:c r="G120" s="68" t="str">
        <x:f>IF(COUNTA(A120:F120)=0,"",IF(OR(A120="",B120="",C120="",D120=""),"Missing required",IF(COUNTIF('Challenges'!$A$5:$A$154,A120)=0,"Unknown challenge ID",IF(COUNTIFS($A$5:$A$404,A120,$B$5:$B$404,B120)&gt;1,"Duplicate option order","Ready"))))</x:f>
      </x:c>
    </x:row>
    <x:row r="121">
      <x:c r="A121" s="65"/>
      <x:c r="B121" s="65"/>
      <x:c r="C121" s="65"/>
      <x:c r="D121" s="65"/>
      <x:c r="E121" s="65"/>
      <x:c r="F121" s="65"/>
      <x:c r="G121" s="68" t="str">
        <x:f>IF(COUNTA(A121:F121)=0,"",IF(OR(A121="",B121="",C121="",D121=""),"Missing required",IF(COUNTIF('Challenges'!$A$5:$A$154,A121)=0,"Unknown challenge ID",IF(COUNTIFS($A$5:$A$404,A121,$B$5:$B$404,B121)&gt;1,"Duplicate option order","Ready"))))</x:f>
      </x:c>
    </x:row>
    <x:row r="122">
      <x:c r="A122" s="65"/>
      <x:c r="B122" s="65"/>
      <x:c r="C122" s="65"/>
      <x:c r="D122" s="65"/>
      <x:c r="E122" s="65"/>
      <x:c r="F122" s="65"/>
      <x:c r="G122" s="68" t="str">
        <x:f>IF(COUNTA(A122:F122)=0,"",IF(OR(A122="",B122="",C122="",D122=""),"Missing required",IF(COUNTIF('Challenges'!$A$5:$A$154,A122)=0,"Unknown challenge ID",IF(COUNTIFS($A$5:$A$404,A122,$B$5:$B$404,B122)&gt;1,"Duplicate option order","Ready"))))</x:f>
      </x:c>
    </x:row>
    <x:row r="123">
      <x:c r="A123" s="65"/>
      <x:c r="B123" s="65"/>
      <x:c r="C123" s="65"/>
      <x:c r="D123" s="65"/>
      <x:c r="E123" s="65"/>
      <x:c r="F123" s="65"/>
      <x:c r="G123" s="68" t="str">
        <x:f>IF(COUNTA(A123:F123)=0,"",IF(OR(A123="",B123="",C123="",D123=""),"Missing required",IF(COUNTIF('Challenges'!$A$5:$A$154,A123)=0,"Unknown challenge ID",IF(COUNTIFS($A$5:$A$404,A123,$B$5:$B$404,B123)&gt;1,"Duplicate option order","Ready"))))</x:f>
      </x:c>
    </x:row>
    <x:row r="124">
      <x:c r="A124" s="65"/>
      <x:c r="B124" s="65"/>
      <x:c r="C124" s="65"/>
      <x:c r="D124" s="65"/>
      <x:c r="E124" s="65"/>
      <x:c r="F124" s="65"/>
      <x:c r="G124" s="68" t="str">
        <x:f>IF(COUNTA(A124:F124)=0,"",IF(OR(A124="",B124="",C124="",D124=""),"Missing required",IF(COUNTIF('Challenges'!$A$5:$A$154,A124)=0,"Unknown challenge ID",IF(COUNTIFS($A$5:$A$404,A124,$B$5:$B$404,B124)&gt;1,"Duplicate option order","Ready"))))</x:f>
      </x:c>
    </x:row>
    <x:row r="125">
      <x:c r="A125" s="65"/>
      <x:c r="B125" s="65"/>
      <x:c r="C125" s="65"/>
      <x:c r="D125" s="65"/>
      <x:c r="E125" s="65"/>
      <x:c r="F125" s="65"/>
      <x:c r="G125" s="68" t="str">
        <x:f>IF(COUNTA(A125:F125)=0,"",IF(OR(A125="",B125="",C125="",D125=""),"Missing required",IF(COUNTIF('Challenges'!$A$5:$A$154,A125)=0,"Unknown challenge ID",IF(COUNTIFS($A$5:$A$404,A125,$B$5:$B$404,B125)&gt;1,"Duplicate option order","Ready"))))</x:f>
      </x:c>
    </x:row>
    <x:row r="126">
      <x:c r="A126" s="65"/>
      <x:c r="B126" s="65"/>
      <x:c r="C126" s="65"/>
      <x:c r="D126" s="65"/>
      <x:c r="E126" s="65"/>
      <x:c r="F126" s="65"/>
      <x:c r="G126" s="68" t="str">
        <x:f>IF(COUNTA(A126:F126)=0,"",IF(OR(A126="",B126="",C126="",D126=""),"Missing required",IF(COUNTIF('Challenges'!$A$5:$A$154,A126)=0,"Unknown challenge ID",IF(COUNTIFS($A$5:$A$404,A126,$B$5:$B$404,B126)&gt;1,"Duplicate option order","Ready"))))</x:f>
      </x:c>
    </x:row>
    <x:row r="127">
      <x:c r="A127" s="65"/>
      <x:c r="B127" s="65"/>
      <x:c r="C127" s="65"/>
      <x:c r="D127" s="65"/>
      <x:c r="E127" s="65"/>
      <x:c r="F127" s="65"/>
      <x:c r="G127" s="68" t="str">
        <x:f>IF(COUNTA(A127:F127)=0,"",IF(OR(A127="",B127="",C127="",D127=""),"Missing required",IF(COUNTIF('Challenges'!$A$5:$A$154,A127)=0,"Unknown challenge ID",IF(COUNTIFS($A$5:$A$404,A127,$B$5:$B$404,B127)&gt;1,"Duplicate option order","Ready"))))</x:f>
      </x:c>
    </x:row>
    <x:row r="128">
      <x:c r="A128" s="65"/>
      <x:c r="B128" s="65"/>
      <x:c r="C128" s="65"/>
      <x:c r="D128" s="65"/>
      <x:c r="E128" s="65"/>
      <x:c r="F128" s="65"/>
      <x:c r="G128" s="68" t="str">
        <x:f>IF(COUNTA(A128:F128)=0,"",IF(OR(A128="",B128="",C128="",D128=""),"Missing required",IF(COUNTIF('Challenges'!$A$5:$A$154,A128)=0,"Unknown challenge ID",IF(COUNTIFS($A$5:$A$404,A128,$B$5:$B$404,B128)&gt;1,"Duplicate option order","Ready"))))</x:f>
      </x:c>
    </x:row>
    <x:row r="129">
      <x:c r="A129" s="65"/>
      <x:c r="B129" s="65"/>
      <x:c r="C129" s="65"/>
      <x:c r="D129" s="65"/>
      <x:c r="E129" s="65"/>
      <x:c r="F129" s="65"/>
      <x:c r="G129" s="68" t="str">
        <x:f>IF(COUNTA(A129:F129)=0,"",IF(OR(A129="",B129="",C129="",D129=""),"Missing required",IF(COUNTIF('Challenges'!$A$5:$A$154,A129)=0,"Unknown challenge ID",IF(COUNTIFS($A$5:$A$404,A129,$B$5:$B$404,B129)&gt;1,"Duplicate option order","Ready"))))</x:f>
      </x:c>
    </x:row>
    <x:row r="130">
      <x:c r="A130" s="65"/>
      <x:c r="B130" s="65"/>
      <x:c r="C130" s="65"/>
      <x:c r="D130" s="65"/>
      <x:c r="E130" s="65"/>
      <x:c r="F130" s="65"/>
      <x:c r="G130" s="68" t="str">
        <x:f>IF(COUNTA(A130:F130)=0,"",IF(OR(A130="",B130="",C130="",D130=""),"Missing required",IF(COUNTIF('Challenges'!$A$5:$A$154,A130)=0,"Unknown challenge ID",IF(COUNTIFS($A$5:$A$404,A130,$B$5:$B$404,B130)&gt;1,"Duplicate option order","Ready"))))</x:f>
      </x:c>
    </x:row>
    <x:row r="131">
      <x:c r="A131" s="65"/>
      <x:c r="B131" s="65"/>
      <x:c r="C131" s="65"/>
      <x:c r="D131" s="65"/>
      <x:c r="E131" s="65"/>
      <x:c r="F131" s="65"/>
      <x:c r="G131" s="68" t="str">
        <x:f>IF(COUNTA(A131:F131)=0,"",IF(OR(A131="",B131="",C131="",D131=""),"Missing required",IF(COUNTIF('Challenges'!$A$5:$A$154,A131)=0,"Unknown challenge ID",IF(COUNTIFS($A$5:$A$404,A131,$B$5:$B$404,B131)&gt;1,"Duplicate option order","Ready"))))</x:f>
      </x:c>
    </x:row>
    <x:row r="132">
      <x:c r="A132" s="65"/>
      <x:c r="B132" s="65"/>
      <x:c r="C132" s="65"/>
      <x:c r="D132" s="65"/>
      <x:c r="E132" s="65"/>
      <x:c r="F132" s="65"/>
      <x:c r="G132" s="68" t="str">
        <x:f>IF(COUNTA(A132:F132)=0,"",IF(OR(A132="",B132="",C132="",D132=""),"Missing required",IF(COUNTIF('Challenges'!$A$5:$A$154,A132)=0,"Unknown challenge ID",IF(COUNTIFS($A$5:$A$404,A132,$B$5:$B$404,B132)&gt;1,"Duplicate option order","Ready"))))</x:f>
      </x:c>
    </x:row>
    <x:row r="133">
      <x:c r="A133" s="65"/>
      <x:c r="B133" s="65"/>
      <x:c r="C133" s="65"/>
      <x:c r="D133" s="65"/>
      <x:c r="E133" s="65"/>
      <x:c r="F133" s="65"/>
      <x:c r="G133" s="68" t="str">
        <x:f>IF(COUNTA(A133:F133)=0,"",IF(OR(A133="",B133="",C133="",D133=""),"Missing required",IF(COUNTIF('Challenges'!$A$5:$A$154,A133)=0,"Unknown challenge ID",IF(COUNTIFS($A$5:$A$404,A133,$B$5:$B$404,B133)&gt;1,"Duplicate option order","Ready"))))</x:f>
      </x:c>
    </x:row>
    <x:row r="134">
      <x:c r="A134" s="65"/>
      <x:c r="B134" s="65"/>
      <x:c r="C134" s="65"/>
      <x:c r="D134" s="65"/>
      <x:c r="E134" s="65"/>
      <x:c r="F134" s="65"/>
      <x:c r="G134" s="68" t="str">
        <x:f>IF(COUNTA(A134:F134)=0,"",IF(OR(A134="",B134="",C134="",D134=""),"Missing required",IF(COUNTIF('Challenges'!$A$5:$A$154,A134)=0,"Unknown challenge ID",IF(COUNTIFS($A$5:$A$404,A134,$B$5:$B$404,B134)&gt;1,"Duplicate option order","Ready"))))</x:f>
      </x:c>
    </x:row>
    <x:row r="135">
      <x:c r="A135" s="65"/>
      <x:c r="B135" s="65"/>
      <x:c r="C135" s="65"/>
      <x:c r="D135" s="65"/>
      <x:c r="E135" s="65"/>
      <x:c r="F135" s="65"/>
      <x:c r="G135" s="68" t="str">
        <x:f>IF(COUNTA(A135:F135)=0,"",IF(OR(A135="",B135="",C135="",D135=""),"Missing required",IF(COUNTIF('Challenges'!$A$5:$A$154,A135)=0,"Unknown challenge ID",IF(COUNTIFS($A$5:$A$404,A135,$B$5:$B$404,B135)&gt;1,"Duplicate option order","Ready"))))</x:f>
      </x:c>
    </x:row>
    <x:row r="136">
      <x:c r="A136" s="65"/>
      <x:c r="B136" s="65"/>
      <x:c r="C136" s="65"/>
      <x:c r="D136" s="65"/>
      <x:c r="E136" s="65"/>
      <x:c r="F136" s="65"/>
      <x:c r="G136" s="68" t="str">
        <x:f>IF(COUNTA(A136:F136)=0,"",IF(OR(A136="",B136="",C136="",D136=""),"Missing required",IF(COUNTIF('Challenges'!$A$5:$A$154,A136)=0,"Unknown challenge ID",IF(COUNTIFS($A$5:$A$404,A136,$B$5:$B$404,B136)&gt;1,"Duplicate option order","Ready"))))</x:f>
      </x:c>
    </x:row>
    <x:row r="137">
      <x:c r="A137" s="65"/>
      <x:c r="B137" s="65"/>
      <x:c r="C137" s="65"/>
      <x:c r="D137" s="65"/>
      <x:c r="E137" s="65"/>
      <x:c r="F137" s="65"/>
      <x:c r="G137" s="68" t="str">
        <x:f>IF(COUNTA(A137:F137)=0,"",IF(OR(A137="",B137="",C137="",D137=""),"Missing required",IF(COUNTIF('Challenges'!$A$5:$A$154,A137)=0,"Unknown challenge ID",IF(COUNTIFS($A$5:$A$404,A137,$B$5:$B$404,B137)&gt;1,"Duplicate option order","Ready"))))</x:f>
      </x:c>
    </x:row>
    <x:row r="138">
      <x:c r="A138" s="65"/>
      <x:c r="B138" s="65"/>
      <x:c r="C138" s="65"/>
      <x:c r="D138" s="65"/>
      <x:c r="E138" s="65"/>
      <x:c r="F138" s="65"/>
      <x:c r="G138" s="68" t="str">
        <x:f>IF(COUNTA(A138:F138)=0,"",IF(OR(A138="",B138="",C138="",D138=""),"Missing required",IF(COUNTIF('Challenges'!$A$5:$A$154,A138)=0,"Unknown challenge ID",IF(COUNTIFS($A$5:$A$404,A138,$B$5:$B$404,B138)&gt;1,"Duplicate option order","Ready"))))</x:f>
      </x:c>
    </x:row>
    <x:row r="139">
      <x:c r="A139" s="65"/>
      <x:c r="B139" s="65"/>
      <x:c r="C139" s="65"/>
      <x:c r="D139" s="65"/>
      <x:c r="E139" s="65"/>
      <x:c r="F139" s="65"/>
      <x:c r="G139" s="68" t="str">
        <x:f>IF(COUNTA(A139:F139)=0,"",IF(OR(A139="",B139="",C139="",D139=""),"Missing required",IF(COUNTIF('Challenges'!$A$5:$A$154,A139)=0,"Unknown challenge ID",IF(COUNTIFS($A$5:$A$404,A139,$B$5:$B$404,B139)&gt;1,"Duplicate option order","Ready"))))</x:f>
      </x:c>
    </x:row>
    <x:row r="140">
      <x:c r="A140" s="65"/>
      <x:c r="B140" s="65"/>
      <x:c r="C140" s="65"/>
      <x:c r="D140" s="65"/>
      <x:c r="E140" s="65"/>
      <x:c r="F140" s="65"/>
      <x:c r="G140" s="68" t="str">
        <x:f>IF(COUNTA(A140:F140)=0,"",IF(OR(A140="",B140="",C140="",D140=""),"Missing required",IF(COUNTIF('Challenges'!$A$5:$A$154,A140)=0,"Unknown challenge ID",IF(COUNTIFS($A$5:$A$404,A140,$B$5:$B$404,B140)&gt;1,"Duplicate option order","Ready"))))</x:f>
      </x:c>
    </x:row>
    <x:row r="141">
      <x:c r="A141" s="65"/>
      <x:c r="B141" s="65"/>
      <x:c r="C141" s="65"/>
      <x:c r="D141" s="65"/>
      <x:c r="E141" s="65"/>
      <x:c r="F141" s="65"/>
      <x:c r="G141" s="68" t="str">
        <x:f>IF(COUNTA(A141:F141)=0,"",IF(OR(A141="",B141="",C141="",D141=""),"Missing required",IF(COUNTIF('Challenges'!$A$5:$A$154,A141)=0,"Unknown challenge ID",IF(COUNTIFS($A$5:$A$404,A141,$B$5:$B$404,B141)&gt;1,"Duplicate option order","Ready"))))</x:f>
      </x:c>
    </x:row>
    <x:row r="142">
      <x:c r="A142" s="65"/>
      <x:c r="B142" s="65"/>
      <x:c r="C142" s="65"/>
      <x:c r="D142" s="65"/>
      <x:c r="E142" s="65"/>
      <x:c r="F142" s="65"/>
      <x:c r="G142" s="68" t="str">
        <x:f>IF(COUNTA(A142:F142)=0,"",IF(OR(A142="",B142="",C142="",D142=""),"Missing required",IF(COUNTIF('Challenges'!$A$5:$A$154,A142)=0,"Unknown challenge ID",IF(COUNTIFS($A$5:$A$404,A142,$B$5:$B$404,B142)&gt;1,"Duplicate option order","Ready"))))</x:f>
      </x:c>
    </x:row>
    <x:row r="143">
      <x:c r="A143" s="65"/>
      <x:c r="B143" s="65"/>
      <x:c r="C143" s="65"/>
      <x:c r="D143" s="65"/>
      <x:c r="E143" s="65"/>
      <x:c r="F143" s="65"/>
      <x:c r="G143" s="68" t="str">
        <x:f>IF(COUNTA(A143:F143)=0,"",IF(OR(A143="",B143="",C143="",D143=""),"Missing required",IF(COUNTIF('Challenges'!$A$5:$A$154,A143)=0,"Unknown challenge ID",IF(COUNTIFS($A$5:$A$404,A143,$B$5:$B$404,B143)&gt;1,"Duplicate option order","Ready"))))</x:f>
      </x:c>
    </x:row>
    <x:row r="144">
      <x:c r="A144" s="65"/>
      <x:c r="B144" s="65"/>
      <x:c r="C144" s="65"/>
      <x:c r="D144" s="65"/>
      <x:c r="E144" s="65"/>
      <x:c r="F144" s="65"/>
      <x:c r="G144" s="68" t="str">
        <x:f>IF(COUNTA(A144:F144)=0,"",IF(OR(A144="",B144="",C144="",D144=""),"Missing required",IF(COUNTIF('Challenges'!$A$5:$A$154,A144)=0,"Unknown challenge ID",IF(COUNTIFS($A$5:$A$404,A144,$B$5:$B$404,B144)&gt;1,"Duplicate option order","Ready"))))</x:f>
      </x:c>
    </x:row>
    <x:row r="145">
      <x:c r="A145" s="65"/>
      <x:c r="B145" s="65"/>
      <x:c r="C145" s="65"/>
      <x:c r="D145" s="65"/>
      <x:c r="E145" s="65"/>
      <x:c r="F145" s="65"/>
      <x:c r="G145" s="68" t="str">
        <x:f>IF(COUNTA(A145:F145)=0,"",IF(OR(A145="",B145="",C145="",D145=""),"Missing required",IF(COUNTIF('Challenges'!$A$5:$A$154,A145)=0,"Unknown challenge ID",IF(COUNTIFS($A$5:$A$404,A145,$B$5:$B$404,B145)&gt;1,"Duplicate option order","Ready"))))</x:f>
      </x:c>
    </x:row>
    <x:row r="146">
      <x:c r="A146" s="65"/>
      <x:c r="B146" s="65"/>
      <x:c r="C146" s="65"/>
      <x:c r="D146" s="65"/>
      <x:c r="E146" s="65"/>
      <x:c r="F146" s="65"/>
      <x:c r="G146" s="68" t="str">
        <x:f>IF(COUNTA(A146:F146)=0,"",IF(OR(A146="",B146="",C146="",D146=""),"Missing required",IF(COUNTIF('Challenges'!$A$5:$A$154,A146)=0,"Unknown challenge ID",IF(COUNTIFS($A$5:$A$404,A146,$B$5:$B$404,B146)&gt;1,"Duplicate option order","Ready"))))</x:f>
      </x:c>
    </x:row>
    <x:row r="147">
      <x:c r="A147" s="65"/>
      <x:c r="B147" s="65"/>
      <x:c r="C147" s="65"/>
      <x:c r="D147" s="65"/>
      <x:c r="E147" s="65"/>
      <x:c r="F147" s="65"/>
      <x:c r="G147" s="68" t="str">
        <x:f>IF(COUNTA(A147:F147)=0,"",IF(OR(A147="",B147="",C147="",D147=""),"Missing required",IF(COUNTIF('Challenges'!$A$5:$A$154,A147)=0,"Unknown challenge ID",IF(COUNTIFS($A$5:$A$404,A147,$B$5:$B$404,B147)&gt;1,"Duplicate option order","Ready"))))</x:f>
      </x:c>
    </x:row>
    <x:row r="148">
      <x:c r="A148" s="65"/>
      <x:c r="B148" s="65"/>
      <x:c r="C148" s="65"/>
      <x:c r="D148" s="65"/>
      <x:c r="E148" s="65"/>
      <x:c r="F148" s="65"/>
      <x:c r="G148" s="68" t="str">
        <x:f>IF(COUNTA(A148:F148)=0,"",IF(OR(A148="",B148="",C148="",D148=""),"Missing required",IF(COUNTIF('Challenges'!$A$5:$A$154,A148)=0,"Unknown challenge ID",IF(COUNTIFS($A$5:$A$404,A148,$B$5:$B$404,B148)&gt;1,"Duplicate option order","Ready"))))</x:f>
      </x:c>
    </x:row>
    <x:row r="149">
      <x:c r="A149" s="65"/>
      <x:c r="B149" s="65"/>
      <x:c r="C149" s="65"/>
      <x:c r="D149" s="65"/>
      <x:c r="E149" s="65"/>
      <x:c r="F149" s="65"/>
      <x:c r="G149" s="68" t="str">
        <x:f>IF(COUNTA(A149:F149)=0,"",IF(OR(A149="",B149="",C149="",D149=""),"Missing required",IF(COUNTIF('Challenges'!$A$5:$A$154,A149)=0,"Unknown challenge ID",IF(COUNTIFS($A$5:$A$404,A149,$B$5:$B$404,B149)&gt;1,"Duplicate option order","Ready"))))</x:f>
      </x:c>
    </x:row>
    <x:row r="150">
      <x:c r="A150" s="65"/>
      <x:c r="B150" s="65"/>
      <x:c r="C150" s="65"/>
      <x:c r="D150" s="65"/>
      <x:c r="E150" s="65"/>
      <x:c r="F150" s="65"/>
      <x:c r="G150" s="68" t="str">
        <x:f>IF(COUNTA(A150:F150)=0,"",IF(OR(A150="",B150="",C150="",D150=""),"Missing required",IF(COUNTIF('Challenges'!$A$5:$A$154,A150)=0,"Unknown challenge ID",IF(COUNTIFS($A$5:$A$404,A150,$B$5:$B$404,B150)&gt;1,"Duplicate option order","Ready"))))</x:f>
      </x:c>
    </x:row>
    <x:row r="151">
      <x:c r="A151" s="65"/>
      <x:c r="B151" s="65"/>
      <x:c r="C151" s="65"/>
      <x:c r="D151" s="65"/>
      <x:c r="E151" s="65"/>
      <x:c r="F151" s="65"/>
      <x:c r="G151" s="68" t="str">
        <x:f>IF(COUNTA(A151:F151)=0,"",IF(OR(A151="",B151="",C151="",D151=""),"Missing required",IF(COUNTIF('Challenges'!$A$5:$A$154,A151)=0,"Unknown challenge ID",IF(COUNTIFS($A$5:$A$404,A151,$B$5:$B$404,B151)&gt;1,"Duplicate option order","Ready"))))</x:f>
      </x:c>
    </x:row>
    <x:row r="152">
      <x:c r="A152" s="65"/>
      <x:c r="B152" s="65"/>
      <x:c r="C152" s="65"/>
      <x:c r="D152" s="65"/>
      <x:c r="E152" s="65"/>
      <x:c r="F152" s="65"/>
      <x:c r="G152" s="68" t="str">
        <x:f>IF(COUNTA(A152:F152)=0,"",IF(OR(A152="",B152="",C152="",D152=""),"Missing required",IF(COUNTIF('Challenges'!$A$5:$A$154,A152)=0,"Unknown challenge ID",IF(COUNTIFS($A$5:$A$404,A152,$B$5:$B$404,B152)&gt;1,"Duplicate option order","Ready"))))</x:f>
      </x:c>
    </x:row>
    <x:row r="153">
      <x:c r="A153" s="65"/>
      <x:c r="B153" s="65"/>
      <x:c r="C153" s="65"/>
      <x:c r="D153" s="65"/>
      <x:c r="E153" s="65"/>
      <x:c r="F153" s="65"/>
      <x:c r="G153" s="68" t="str">
        <x:f>IF(COUNTA(A153:F153)=0,"",IF(OR(A153="",B153="",C153="",D153=""),"Missing required",IF(COUNTIF('Challenges'!$A$5:$A$154,A153)=0,"Unknown challenge ID",IF(COUNTIFS($A$5:$A$404,A153,$B$5:$B$404,B153)&gt;1,"Duplicate option order","Ready"))))</x:f>
      </x:c>
    </x:row>
    <x:row r="154">
      <x:c r="A154" s="65"/>
      <x:c r="B154" s="65"/>
      <x:c r="C154" s="65"/>
      <x:c r="D154" s="65"/>
      <x:c r="E154" s="65"/>
      <x:c r="F154" s="65"/>
      <x:c r="G154" s="68" t="str">
        <x:f>IF(COUNTA(A154:F154)=0,"",IF(OR(A154="",B154="",C154="",D154=""),"Missing required",IF(COUNTIF('Challenges'!$A$5:$A$154,A154)=0,"Unknown challenge ID",IF(COUNTIFS($A$5:$A$404,A154,$B$5:$B$404,B154)&gt;1,"Duplicate option order","Ready"))))</x:f>
      </x:c>
    </x:row>
    <x:row r="155">
      <x:c r="A155" s="65"/>
      <x:c r="B155" s="65"/>
      <x:c r="C155" s="65"/>
      <x:c r="D155" s="65"/>
      <x:c r="E155" s="65"/>
      <x:c r="F155" s="65"/>
      <x:c r="G155" s="68" t="str">
        <x:f>IF(COUNTA(A155:F155)=0,"",IF(OR(A155="",B155="",C155="",D155=""),"Missing required",IF(COUNTIF('Challenges'!$A$5:$A$154,A155)=0,"Unknown challenge ID",IF(COUNTIFS($A$5:$A$404,A155,$B$5:$B$404,B155)&gt;1,"Duplicate option order","Ready"))))</x:f>
      </x:c>
    </x:row>
    <x:row r="156">
      <x:c r="A156" s="65"/>
      <x:c r="B156" s="65"/>
      <x:c r="C156" s="65"/>
      <x:c r="D156" s="65"/>
      <x:c r="E156" s="65"/>
      <x:c r="F156" s="65"/>
      <x:c r="G156" s="68" t="str">
        <x:f>IF(COUNTA(A156:F156)=0,"",IF(OR(A156="",B156="",C156="",D156=""),"Missing required",IF(COUNTIF('Challenges'!$A$5:$A$154,A156)=0,"Unknown challenge ID",IF(COUNTIFS($A$5:$A$404,A156,$B$5:$B$404,B156)&gt;1,"Duplicate option order","Ready"))))</x:f>
      </x:c>
    </x:row>
    <x:row r="157">
      <x:c r="A157" s="65"/>
      <x:c r="B157" s="65"/>
      <x:c r="C157" s="65"/>
      <x:c r="D157" s="65"/>
      <x:c r="E157" s="65"/>
      <x:c r="F157" s="65"/>
      <x:c r="G157" s="68" t="str">
        <x:f>IF(COUNTA(A157:F157)=0,"",IF(OR(A157="",B157="",C157="",D157=""),"Missing required",IF(COUNTIF('Challenges'!$A$5:$A$154,A157)=0,"Unknown challenge ID",IF(COUNTIFS($A$5:$A$404,A157,$B$5:$B$404,B157)&gt;1,"Duplicate option order","Ready"))))</x:f>
      </x:c>
    </x:row>
    <x:row r="158">
      <x:c r="A158" s="65"/>
      <x:c r="B158" s="65"/>
      <x:c r="C158" s="65"/>
      <x:c r="D158" s="65"/>
      <x:c r="E158" s="65"/>
      <x:c r="F158" s="65"/>
      <x:c r="G158" s="68" t="str">
        <x:f>IF(COUNTA(A158:F158)=0,"",IF(OR(A158="",B158="",C158="",D158=""),"Missing required",IF(COUNTIF('Challenges'!$A$5:$A$154,A158)=0,"Unknown challenge ID",IF(COUNTIFS($A$5:$A$404,A158,$B$5:$B$404,B158)&gt;1,"Duplicate option order","Ready"))))</x:f>
      </x:c>
    </x:row>
    <x:row r="159">
      <x:c r="A159" s="65"/>
      <x:c r="B159" s="65"/>
      <x:c r="C159" s="65"/>
      <x:c r="D159" s="65"/>
      <x:c r="E159" s="65"/>
      <x:c r="F159" s="65"/>
      <x:c r="G159" s="68" t="str">
        <x:f>IF(COUNTA(A159:F159)=0,"",IF(OR(A159="",B159="",C159="",D159=""),"Missing required",IF(COUNTIF('Challenges'!$A$5:$A$154,A159)=0,"Unknown challenge ID",IF(COUNTIFS($A$5:$A$404,A159,$B$5:$B$404,B159)&gt;1,"Duplicate option order","Ready"))))</x:f>
      </x:c>
    </x:row>
    <x:row r="160">
      <x:c r="A160" s="65"/>
      <x:c r="B160" s="65"/>
      <x:c r="C160" s="65"/>
      <x:c r="D160" s="65"/>
      <x:c r="E160" s="65"/>
      <x:c r="F160" s="65"/>
      <x:c r="G160" s="68" t="str">
        <x:f>IF(COUNTA(A160:F160)=0,"",IF(OR(A160="",B160="",C160="",D160=""),"Missing required",IF(COUNTIF('Challenges'!$A$5:$A$154,A160)=0,"Unknown challenge ID",IF(COUNTIFS($A$5:$A$404,A160,$B$5:$B$404,B160)&gt;1,"Duplicate option order","Ready"))))</x:f>
      </x:c>
    </x:row>
    <x:row r="161">
      <x:c r="A161" s="65"/>
      <x:c r="B161" s="65"/>
      <x:c r="C161" s="65"/>
      <x:c r="D161" s="65"/>
      <x:c r="E161" s="65"/>
      <x:c r="F161" s="65"/>
      <x:c r="G161" s="68" t="str">
        <x:f>IF(COUNTA(A161:F161)=0,"",IF(OR(A161="",B161="",C161="",D161=""),"Missing required",IF(COUNTIF('Challenges'!$A$5:$A$154,A161)=0,"Unknown challenge ID",IF(COUNTIFS($A$5:$A$404,A161,$B$5:$B$404,B161)&gt;1,"Duplicate option order","Ready"))))</x:f>
      </x:c>
    </x:row>
    <x:row r="162">
      <x:c r="A162" s="65"/>
      <x:c r="B162" s="65"/>
      <x:c r="C162" s="65"/>
      <x:c r="D162" s="65"/>
      <x:c r="E162" s="65"/>
      <x:c r="F162" s="65"/>
      <x:c r="G162" s="68" t="str">
        <x:f>IF(COUNTA(A162:F162)=0,"",IF(OR(A162="",B162="",C162="",D162=""),"Missing required",IF(COUNTIF('Challenges'!$A$5:$A$154,A162)=0,"Unknown challenge ID",IF(COUNTIFS($A$5:$A$404,A162,$B$5:$B$404,B162)&gt;1,"Duplicate option order","Ready"))))</x:f>
      </x:c>
    </x:row>
    <x:row r="163">
      <x:c r="A163" s="65"/>
      <x:c r="B163" s="65"/>
      <x:c r="C163" s="65"/>
      <x:c r="D163" s="65"/>
      <x:c r="E163" s="65"/>
      <x:c r="F163" s="65"/>
      <x:c r="G163" s="68" t="str">
        <x:f>IF(COUNTA(A163:F163)=0,"",IF(OR(A163="",B163="",C163="",D163=""),"Missing required",IF(COUNTIF('Challenges'!$A$5:$A$154,A163)=0,"Unknown challenge ID",IF(COUNTIFS($A$5:$A$404,A163,$B$5:$B$404,B163)&gt;1,"Duplicate option order","Ready"))))</x:f>
      </x:c>
    </x:row>
    <x:row r="164">
      <x:c r="A164" s="65"/>
      <x:c r="B164" s="65"/>
      <x:c r="C164" s="65"/>
      <x:c r="D164" s="65"/>
      <x:c r="E164" s="65"/>
      <x:c r="F164" s="65"/>
      <x:c r="G164" s="68" t="str">
        <x:f>IF(COUNTA(A164:F164)=0,"",IF(OR(A164="",B164="",C164="",D164=""),"Missing required",IF(COUNTIF('Challenges'!$A$5:$A$154,A164)=0,"Unknown challenge ID",IF(COUNTIFS($A$5:$A$404,A164,$B$5:$B$404,B164)&gt;1,"Duplicate option order","Ready"))))</x:f>
      </x:c>
    </x:row>
    <x:row r="165">
      <x:c r="A165" s="65"/>
      <x:c r="B165" s="65"/>
      <x:c r="C165" s="65"/>
      <x:c r="D165" s="65"/>
      <x:c r="E165" s="65"/>
      <x:c r="F165" s="65"/>
      <x:c r="G165" s="68" t="str">
        <x:f>IF(COUNTA(A165:F165)=0,"",IF(OR(A165="",B165="",C165="",D165=""),"Missing required",IF(COUNTIF('Challenges'!$A$5:$A$154,A165)=0,"Unknown challenge ID",IF(COUNTIFS($A$5:$A$404,A165,$B$5:$B$404,B165)&gt;1,"Duplicate option order","Ready"))))</x:f>
      </x:c>
    </x:row>
    <x:row r="166">
      <x:c r="A166" s="65"/>
      <x:c r="B166" s="65"/>
      <x:c r="C166" s="65"/>
      <x:c r="D166" s="65"/>
      <x:c r="E166" s="65"/>
      <x:c r="F166" s="65"/>
      <x:c r="G166" s="68" t="str">
        <x:f>IF(COUNTA(A166:F166)=0,"",IF(OR(A166="",B166="",C166="",D166=""),"Missing required",IF(COUNTIF('Challenges'!$A$5:$A$154,A166)=0,"Unknown challenge ID",IF(COUNTIFS($A$5:$A$404,A166,$B$5:$B$404,B166)&gt;1,"Duplicate option order","Ready"))))</x:f>
      </x:c>
    </x:row>
    <x:row r="167">
      <x:c r="A167" s="65"/>
      <x:c r="B167" s="65"/>
      <x:c r="C167" s="65"/>
      <x:c r="D167" s="65"/>
      <x:c r="E167" s="65"/>
      <x:c r="F167" s="65"/>
      <x:c r="G167" s="68" t="str">
        <x:f>IF(COUNTA(A167:F167)=0,"",IF(OR(A167="",B167="",C167="",D167=""),"Missing required",IF(COUNTIF('Challenges'!$A$5:$A$154,A167)=0,"Unknown challenge ID",IF(COUNTIFS($A$5:$A$404,A167,$B$5:$B$404,B167)&gt;1,"Duplicate option order","Ready"))))</x:f>
      </x:c>
    </x:row>
    <x:row r="168">
      <x:c r="A168" s="65"/>
      <x:c r="B168" s="65"/>
      <x:c r="C168" s="65"/>
      <x:c r="D168" s="65"/>
      <x:c r="E168" s="65"/>
      <x:c r="F168" s="65"/>
      <x:c r="G168" s="68" t="str">
        <x:f>IF(COUNTA(A168:F168)=0,"",IF(OR(A168="",B168="",C168="",D168=""),"Missing required",IF(COUNTIF('Challenges'!$A$5:$A$154,A168)=0,"Unknown challenge ID",IF(COUNTIFS($A$5:$A$404,A168,$B$5:$B$404,B168)&gt;1,"Duplicate option order","Ready"))))</x:f>
      </x:c>
    </x:row>
    <x:row r="169">
      <x:c r="A169" s="65"/>
      <x:c r="B169" s="65"/>
      <x:c r="C169" s="65"/>
      <x:c r="D169" s="65"/>
      <x:c r="E169" s="65"/>
      <x:c r="F169" s="65"/>
      <x:c r="G169" s="68" t="str">
        <x:f>IF(COUNTA(A169:F169)=0,"",IF(OR(A169="",B169="",C169="",D169=""),"Missing required",IF(COUNTIF('Challenges'!$A$5:$A$154,A169)=0,"Unknown challenge ID",IF(COUNTIFS($A$5:$A$404,A169,$B$5:$B$404,B169)&gt;1,"Duplicate option order","Ready"))))</x:f>
      </x:c>
    </x:row>
    <x:row r="170">
      <x:c r="A170" s="65"/>
      <x:c r="B170" s="65"/>
      <x:c r="C170" s="65"/>
      <x:c r="D170" s="65"/>
      <x:c r="E170" s="65"/>
      <x:c r="F170" s="65"/>
      <x:c r="G170" s="68" t="str">
        <x:f>IF(COUNTA(A170:F170)=0,"",IF(OR(A170="",B170="",C170="",D170=""),"Missing required",IF(COUNTIF('Challenges'!$A$5:$A$154,A170)=0,"Unknown challenge ID",IF(COUNTIFS($A$5:$A$404,A170,$B$5:$B$404,B170)&gt;1,"Duplicate option order","Ready"))))</x:f>
      </x:c>
    </x:row>
    <x:row r="171">
      <x:c r="A171" s="65"/>
      <x:c r="B171" s="65"/>
      <x:c r="C171" s="65"/>
      <x:c r="D171" s="65"/>
      <x:c r="E171" s="65"/>
      <x:c r="F171" s="65"/>
      <x:c r="G171" s="68" t="str">
        <x:f>IF(COUNTA(A171:F171)=0,"",IF(OR(A171="",B171="",C171="",D171=""),"Missing required",IF(COUNTIF('Challenges'!$A$5:$A$154,A171)=0,"Unknown challenge ID",IF(COUNTIFS($A$5:$A$404,A171,$B$5:$B$404,B171)&gt;1,"Duplicate option order","Ready"))))</x:f>
      </x:c>
    </x:row>
    <x:row r="172">
      <x:c r="A172" s="65"/>
      <x:c r="B172" s="65"/>
      <x:c r="C172" s="65"/>
      <x:c r="D172" s="65"/>
      <x:c r="E172" s="65"/>
      <x:c r="F172" s="65"/>
      <x:c r="G172" s="68" t="str">
        <x:f>IF(COUNTA(A172:F172)=0,"",IF(OR(A172="",B172="",C172="",D172=""),"Missing required",IF(COUNTIF('Challenges'!$A$5:$A$154,A172)=0,"Unknown challenge ID",IF(COUNTIFS($A$5:$A$404,A172,$B$5:$B$404,B172)&gt;1,"Duplicate option order","Ready"))))</x:f>
      </x:c>
    </x:row>
    <x:row r="173">
      <x:c r="A173" s="65"/>
      <x:c r="B173" s="65"/>
      <x:c r="C173" s="65"/>
      <x:c r="D173" s="65"/>
      <x:c r="E173" s="65"/>
      <x:c r="F173" s="65"/>
      <x:c r="G173" s="68" t="str">
        <x:f>IF(COUNTA(A173:F173)=0,"",IF(OR(A173="",B173="",C173="",D173=""),"Missing required",IF(COUNTIF('Challenges'!$A$5:$A$154,A173)=0,"Unknown challenge ID",IF(COUNTIFS($A$5:$A$404,A173,$B$5:$B$404,B173)&gt;1,"Duplicate option order","Ready"))))</x:f>
      </x:c>
    </x:row>
    <x:row r="174">
      <x:c r="A174" s="65"/>
      <x:c r="B174" s="65"/>
      <x:c r="C174" s="65"/>
      <x:c r="D174" s="65"/>
      <x:c r="E174" s="65"/>
      <x:c r="F174" s="65"/>
      <x:c r="G174" s="68" t="str">
        <x:f>IF(COUNTA(A174:F174)=0,"",IF(OR(A174="",B174="",C174="",D174=""),"Missing required",IF(COUNTIF('Challenges'!$A$5:$A$154,A174)=0,"Unknown challenge ID",IF(COUNTIFS($A$5:$A$404,A174,$B$5:$B$404,B174)&gt;1,"Duplicate option order","Ready"))))</x:f>
      </x:c>
    </x:row>
    <x:row r="175">
      <x:c r="A175" s="65"/>
      <x:c r="B175" s="65"/>
      <x:c r="C175" s="65"/>
      <x:c r="D175" s="65"/>
      <x:c r="E175" s="65"/>
      <x:c r="F175" s="65"/>
      <x:c r="G175" s="68" t="str">
        <x:f>IF(COUNTA(A175:F175)=0,"",IF(OR(A175="",B175="",C175="",D175=""),"Missing required",IF(COUNTIF('Challenges'!$A$5:$A$154,A175)=0,"Unknown challenge ID",IF(COUNTIFS($A$5:$A$404,A175,$B$5:$B$404,B175)&gt;1,"Duplicate option order","Ready"))))</x:f>
      </x:c>
    </x:row>
    <x:row r="176">
      <x:c r="A176" s="65"/>
      <x:c r="B176" s="65"/>
      <x:c r="C176" s="65"/>
      <x:c r="D176" s="65"/>
      <x:c r="E176" s="65"/>
      <x:c r="F176" s="65"/>
      <x:c r="G176" s="68" t="str">
        <x:f>IF(COUNTA(A176:F176)=0,"",IF(OR(A176="",B176="",C176="",D176=""),"Missing required",IF(COUNTIF('Challenges'!$A$5:$A$154,A176)=0,"Unknown challenge ID",IF(COUNTIFS($A$5:$A$404,A176,$B$5:$B$404,B176)&gt;1,"Duplicate option order","Ready"))))</x:f>
      </x:c>
    </x:row>
    <x:row r="177">
      <x:c r="A177" s="65"/>
      <x:c r="B177" s="65"/>
      <x:c r="C177" s="65"/>
      <x:c r="D177" s="65"/>
      <x:c r="E177" s="65"/>
      <x:c r="F177" s="65"/>
      <x:c r="G177" s="68" t="str">
        <x:f>IF(COUNTA(A177:F177)=0,"",IF(OR(A177="",B177="",C177="",D177=""),"Missing required",IF(COUNTIF('Challenges'!$A$5:$A$154,A177)=0,"Unknown challenge ID",IF(COUNTIFS($A$5:$A$404,A177,$B$5:$B$404,B177)&gt;1,"Duplicate option order","Ready"))))</x:f>
      </x:c>
    </x:row>
    <x:row r="178">
      <x:c r="A178" s="65"/>
      <x:c r="B178" s="65"/>
      <x:c r="C178" s="65"/>
      <x:c r="D178" s="65"/>
      <x:c r="E178" s="65"/>
      <x:c r="F178" s="65"/>
      <x:c r="G178" s="68" t="str">
        <x:f>IF(COUNTA(A178:F178)=0,"",IF(OR(A178="",B178="",C178="",D178=""),"Missing required",IF(COUNTIF('Challenges'!$A$5:$A$154,A178)=0,"Unknown challenge ID",IF(COUNTIFS($A$5:$A$404,A178,$B$5:$B$404,B178)&gt;1,"Duplicate option order","Ready"))))</x:f>
      </x:c>
    </x:row>
    <x:row r="179">
      <x:c r="A179" s="65"/>
      <x:c r="B179" s="65"/>
      <x:c r="C179" s="65"/>
      <x:c r="D179" s="65"/>
      <x:c r="E179" s="65"/>
      <x:c r="F179" s="65"/>
      <x:c r="G179" s="68" t="str">
        <x:f>IF(COUNTA(A179:F179)=0,"",IF(OR(A179="",B179="",C179="",D179=""),"Missing required",IF(COUNTIF('Challenges'!$A$5:$A$154,A179)=0,"Unknown challenge ID",IF(COUNTIFS($A$5:$A$404,A179,$B$5:$B$404,B179)&gt;1,"Duplicate option order","Ready"))))</x:f>
      </x:c>
    </x:row>
    <x:row r="180">
      <x:c r="A180" s="65"/>
      <x:c r="B180" s="65"/>
      <x:c r="C180" s="65"/>
      <x:c r="D180" s="65"/>
      <x:c r="E180" s="65"/>
      <x:c r="F180" s="65"/>
      <x:c r="G180" s="68" t="str">
        <x:f>IF(COUNTA(A180:F180)=0,"",IF(OR(A180="",B180="",C180="",D180=""),"Missing required",IF(COUNTIF('Challenges'!$A$5:$A$154,A180)=0,"Unknown challenge ID",IF(COUNTIFS($A$5:$A$404,A180,$B$5:$B$404,B180)&gt;1,"Duplicate option order","Ready"))))</x:f>
      </x:c>
    </x:row>
    <x:row r="181">
      <x:c r="A181" s="65"/>
      <x:c r="B181" s="65"/>
      <x:c r="C181" s="65"/>
      <x:c r="D181" s="65"/>
      <x:c r="E181" s="65"/>
      <x:c r="F181" s="65"/>
      <x:c r="G181" s="68" t="str">
        <x:f>IF(COUNTA(A181:F181)=0,"",IF(OR(A181="",B181="",C181="",D181=""),"Missing required",IF(COUNTIF('Challenges'!$A$5:$A$154,A181)=0,"Unknown challenge ID",IF(COUNTIFS($A$5:$A$404,A181,$B$5:$B$404,B181)&gt;1,"Duplicate option order","Ready"))))</x:f>
      </x:c>
    </x:row>
    <x:row r="182">
      <x:c r="A182" s="65"/>
      <x:c r="B182" s="65"/>
      <x:c r="C182" s="65"/>
      <x:c r="D182" s="65"/>
      <x:c r="E182" s="65"/>
      <x:c r="F182" s="65"/>
      <x:c r="G182" s="68" t="str">
        <x:f>IF(COUNTA(A182:F182)=0,"",IF(OR(A182="",B182="",C182="",D182=""),"Missing required",IF(COUNTIF('Challenges'!$A$5:$A$154,A182)=0,"Unknown challenge ID",IF(COUNTIFS($A$5:$A$404,A182,$B$5:$B$404,B182)&gt;1,"Duplicate option order","Ready"))))</x:f>
      </x:c>
    </x:row>
    <x:row r="183">
      <x:c r="A183" s="65"/>
      <x:c r="B183" s="65"/>
      <x:c r="C183" s="65"/>
      <x:c r="D183" s="65"/>
      <x:c r="E183" s="65"/>
      <x:c r="F183" s="65"/>
      <x:c r="G183" s="68" t="str">
        <x:f>IF(COUNTA(A183:F183)=0,"",IF(OR(A183="",B183="",C183="",D183=""),"Missing required",IF(COUNTIF('Challenges'!$A$5:$A$154,A183)=0,"Unknown challenge ID",IF(COUNTIFS($A$5:$A$404,A183,$B$5:$B$404,B183)&gt;1,"Duplicate option order","Ready"))))</x:f>
      </x:c>
    </x:row>
    <x:row r="184">
      <x:c r="A184" s="65"/>
      <x:c r="B184" s="65"/>
      <x:c r="C184" s="65"/>
      <x:c r="D184" s="65"/>
      <x:c r="E184" s="65"/>
      <x:c r="F184" s="65"/>
      <x:c r="G184" s="68" t="str">
        <x:f>IF(COUNTA(A184:F184)=0,"",IF(OR(A184="",B184="",C184="",D184=""),"Missing required",IF(COUNTIF('Challenges'!$A$5:$A$154,A184)=0,"Unknown challenge ID",IF(COUNTIFS($A$5:$A$404,A184,$B$5:$B$404,B184)&gt;1,"Duplicate option order","Ready"))))</x:f>
      </x:c>
    </x:row>
    <x:row r="185">
      <x:c r="A185" s="65"/>
      <x:c r="B185" s="65"/>
      <x:c r="C185" s="65"/>
      <x:c r="D185" s="65"/>
      <x:c r="E185" s="65"/>
      <x:c r="F185" s="65"/>
      <x:c r="G185" s="68" t="str">
        <x:f>IF(COUNTA(A185:F185)=0,"",IF(OR(A185="",B185="",C185="",D185=""),"Missing required",IF(COUNTIF('Challenges'!$A$5:$A$154,A185)=0,"Unknown challenge ID",IF(COUNTIFS($A$5:$A$404,A185,$B$5:$B$404,B185)&gt;1,"Duplicate option order","Ready"))))</x:f>
      </x:c>
    </x:row>
    <x:row r="186">
      <x:c r="A186" s="65"/>
      <x:c r="B186" s="65"/>
      <x:c r="C186" s="65"/>
      <x:c r="D186" s="65"/>
      <x:c r="E186" s="65"/>
      <x:c r="F186" s="65"/>
      <x:c r="G186" s="68" t="str">
        <x:f>IF(COUNTA(A186:F186)=0,"",IF(OR(A186="",B186="",C186="",D186=""),"Missing required",IF(COUNTIF('Challenges'!$A$5:$A$154,A186)=0,"Unknown challenge ID",IF(COUNTIFS($A$5:$A$404,A186,$B$5:$B$404,B186)&gt;1,"Duplicate option order","Ready"))))</x:f>
      </x:c>
    </x:row>
    <x:row r="187">
      <x:c r="A187" s="65"/>
      <x:c r="B187" s="65"/>
      <x:c r="C187" s="65"/>
      <x:c r="D187" s="65"/>
      <x:c r="E187" s="65"/>
      <x:c r="F187" s="65"/>
      <x:c r="G187" s="68" t="str">
        <x:f>IF(COUNTA(A187:F187)=0,"",IF(OR(A187="",B187="",C187="",D187=""),"Missing required",IF(COUNTIF('Challenges'!$A$5:$A$154,A187)=0,"Unknown challenge ID",IF(COUNTIFS($A$5:$A$404,A187,$B$5:$B$404,B187)&gt;1,"Duplicate option order","Ready"))))</x:f>
      </x:c>
    </x:row>
    <x:row r="188">
      <x:c r="A188" s="65"/>
      <x:c r="B188" s="65"/>
      <x:c r="C188" s="65"/>
      <x:c r="D188" s="65"/>
      <x:c r="E188" s="65"/>
      <x:c r="F188" s="65"/>
      <x:c r="G188" s="68" t="str">
        <x:f>IF(COUNTA(A188:F188)=0,"",IF(OR(A188="",B188="",C188="",D188=""),"Missing required",IF(COUNTIF('Challenges'!$A$5:$A$154,A188)=0,"Unknown challenge ID",IF(COUNTIFS($A$5:$A$404,A188,$B$5:$B$404,B188)&gt;1,"Duplicate option order","Ready"))))</x:f>
      </x:c>
    </x:row>
    <x:row r="189">
      <x:c r="A189" s="65"/>
      <x:c r="B189" s="65"/>
      <x:c r="C189" s="65"/>
      <x:c r="D189" s="65"/>
      <x:c r="E189" s="65"/>
      <x:c r="F189" s="65"/>
      <x:c r="G189" s="68" t="str">
        <x:f>IF(COUNTA(A189:F189)=0,"",IF(OR(A189="",B189="",C189="",D189=""),"Missing required",IF(COUNTIF('Challenges'!$A$5:$A$154,A189)=0,"Unknown challenge ID",IF(COUNTIFS($A$5:$A$404,A189,$B$5:$B$404,B189)&gt;1,"Duplicate option order","Ready"))))</x:f>
      </x:c>
    </x:row>
    <x:row r="190">
      <x:c r="A190" s="65"/>
      <x:c r="B190" s="65"/>
      <x:c r="C190" s="65"/>
      <x:c r="D190" s="65"/>
      <x:c r="E190" s="65"/>
      <x:c r="F190" s="65"/>
      <x:c r="G190" s="68" t="str">
        <x:f>IF(COUNTA(A190:F190)=0,"",IF(OR(A190="",B190="",C190="",D190=""),"Missing required",IF(COUNTIF('Challenges'!$A$5:$A$154,A190)=0,"Unknown challenge ID",IF(COUNTIFS($A$5:$A$404,A190,$B$5:$B$404,B190)&gt;1,"Duplicate option order","Ready"))))</x:f>
      </x:c>
    </x:row>
    <x:row r="191">
      <x:c r="A191" s="65"/>
      <x:c r="B191" s="65"/>
      <x:c r="C191" s="65"/>
      <x:c r="D191" s="65"/>
      <x:c r="E191" s="65"/>
      <x:c r="F191" s="65"/>
      <x:c r="G191" s="68" t="str">
        <x:f>IF(COUNTA(A191:F191)=0,"",IF(OR(A191="",B191="",C191="",D191=""),"Missing required",IF(COUNTIF('Challenges'!$A$5:$A$154,A191)=0,"Unknown challenge ID",IF(COUNTIFS($A$5:$A$404,A191,$B$5:$B$404,B191)&gt;1,"Duplicate option order","Ready"))))</x:f>
      </x:c>
    </x:row>
    <x:row r="192">
      <x:c r="A192" s="65"/>
      <x:c r="B192" s="65"/>
      <x:c r="C192" s="65"/>
      <x:c r="D192" s="65"/>
      <x:c r="E192" s="65"/>
      <x:c r="F192" s="65"/>
      <x:c r="G192" s="68" t="str">
        <x:f>IF(COUNTA(A192:F192)=0,"",IF(OR(A192="",B192="",C192="",D192=""),"Missing required",IF(COUNTIF('Challenges'!$A$5:$A$154,A192)=0,"Unknown challenge ID",IF(COUNTIFS($A$5:$A$404,A192,$B$5:$B$404,B192)&gt;1,"Duplicate option order","Ready"))))</x:f>
      </x:c>
    </x:row>
    <x:row r="193">
      <x:c r="A193" s="65"/>
      <x:c r="B193" s="65"/>
      <x:c r="C193" s="65"/>
      <x:c r="D193" s="65"/>
      <x:c r="E193" s="65"/>
      <x:c r="F193" s="65"/>
      <x:c r="G193" s="68" t="str">
        <x:f>IF(COUNTA(A193:F193)=0,"",IF(OR(A193="",B193="",C193="",D193=""),"Missing required",IF(COUNTIF('Challenges'!$A$5:$A$154,A193)=0,"Unknown challenge ID",IF(COUNTIFS($A$5:$A$404,A193,$B$5:$B$404,B193)&gt;1,"Duplicate option order","Ready"))))</x:f>
      </x:c>
    </x:row>
    <x:row r="194">
      <x:c r="A194" s="65"/>
      <x:c r="B194" s="65"/>
      <x:c r="C194" s="65"/>
      <x:c r="D194" s="65"/>
      <x:c r="E194" s="65"/>
      <x:c r="F194" s="65"/>
      <x:c r="G194" s="68" t="str">
        <x:f>IF(COUNTA(A194:F194)=0,"",IF(OR(A194="",B194="",C194="",D194=""),"Missing required",IF(COUNTIF('Challenges'!$A$5:$A$154,A194)=0,"Unknown challenge ID",IF(COUNTIFS($A$5:$A$404,A194,$B$5:$B$404,B194)&gt;1,"Duplicate option order","Ready"))))</x:f>
      </x:c>
    </x:row>
    <x:row r="195">
      <x:c r="A195" s="65"/>
      <x:c r="B195" s="65"/>
      <x:c r="C195" s="65"/>
      <x:c r="D195" s="65"/>
      <x:c r="E195" s="65"/>
      <x:c r="F195" s="65"/>
      <x:c r="G195" s="68" t="str">
        <x:f>IF(COUNTA(A195:F195)=0,"",IF(OR(A195="",B195="",C195="",D195=""),"Missing required",IF(COUNTIF('Challenges'!$A$5:$A$154,A195)=0,"Unknown challenge ID",IF(COUNTIFS($A$5:$A$404,A195,$B$5:$B$404,B195)&gt;1,"Duplicate option order","Ready"))))</x:f>
      </x:c>
    </x:row>
    <x:row r="196">
      <x:c r="A196" s="65"/>
      <x:c r="B196" s="65"/>
      <x:c r="C196" s="65"/>
      <x:c r="D196" s="65"/>
      <x:c r="E196" s="65"/>
      <x:c r="F196" s="65"/>
      <x:c r="G196" s="68" t="str">
        <x:f>IF(COUNTA(A196:F196)=0,"",IF(OR(A196="",B196="",C196="",D196=""),"Missing required",IF(COUNTIF('Challenges'!$A$5:$A$154,A196)=0,"Unknown challenge ID",IF(COUNTIFS($A$5:$A$404,A196,$B$5:$B$404,B196)&gt;1,"Duplicate option order","Ready"))))</x:f>
      </x:c>
    </x:row>
    <x:row r="197">
      <x:c r="A197" s="65"/>
      <x:c r="B197" s="65"/>
      <x:c r="C197" s="65"/>
      <x:c r="D197" s="65"/>
      <x:c r="E197" s="65"/>
      <x:c r="F197" s="65"/>
      <x:c r="G197" s="68" t="str">
        <x:f>IF(COUNTA(A197:F197)=0,"",IF(OR(A197="",B197="",C197="",D197=""),"Missing required",IF(COUNTIF('Challenges'!$A$5:$A$154,A197)=0,"Unknown challenge ID",IF(COUNTIFS($A$5:$A$404,A197,$B$5:$B$404,B197)&gt;1,"Duplicate option order","Ready"))))</x:f>
      </x:c>
    </x:row>
    <x:row r="198">
      <x:c r="A198" s="65"/>
      <x:c r="B198" s="65"/>
      <x:c r="C198" s="65"/>
      <x:c r="D198" s="65"/>
      <x:c r="E198" s="65"/>
      <x:c r="F198" s="65"/>
      <x:c r="G198" s="68" t="str">
        <x:f>IF(COUNTA(A198:F198)=0,"",IF(OR(A198="",B198="",C198="",D198=""),"Missing required",IF(COUNTIF('Challenges'!$A$5:$A$154,A198)=0,"Unknown challenge ID",IF(COUNTIFS($A$5:$A$404,A198,$B$5:$B$404,B198)&gt;1,"Duplicate option order","Ready"))))</x:f>
      </x:c>
    </x:row>
    <x:row r="199">
      <x:c r="A199" s="65"/>
      <x:c r="B199" s="65"/>
      <x:c r="C199" s="65"/>
      <x:c r="D199" s="65"/>
      <x:c r="E199" s="65"/>
      <x:c r="F199" s="65"/>
      <x:c r="G199" s="68" t="str">
        <x:f>IF(COUNTA(A199:F199)=0,"",IF(OR(A199="",B199="",C199="",D199=""),"Missing required",IF(COUNTIF('Challenges'!$A$5:$A$154,A199)=0,"Unknown challenge ID",IF(COUNTIFS($A$5:$A$404,A199,$B$5:$B$404,B199)&gt;1,"Duplicate option order","Ready"))))</x:f>
      </x:c>
    </x:row>
    <x:row r="200">
      <x:c r="A200" s="65"/>
      <x:c r="B200" s="65"/>
      <x:c r="C200" s="65"/>
      <x:c r="D200" s="65"/>
      <x:c r="E200" s="65"/>
      <x:c r="F200" s="65"/>
      <x:c r="G200" s="68" t="str">
        <x:f>IF(COUNTA(A200:F200)=0,"",IF(OR(A200="",B200="",C200="",D200=""),"Missing required",IF(COUNTIF('Challenges'!$A$5:$A$154,A200)=0,"Unknown challenge ID",IF(COUNTIFS($A$5:$A$404,A200,$B$5:$B$404,B200)&gt;1,"Duplicate option order","Ready"))))</x:f>
      </x:c>
    </x:row>
    <x:row r="201">
      <x:c r="A201" s="65"/>
      <x:c r="B201" s="65"/>
      <x:c r="C201" s="65"/>
      <x:c r="D201" s="65"/>
      <x:c r="E201" s="65"/>
      <x:c r="F201" s="65"/>
      <x:c r="G201" s="68" t="str">
        <x:f>IF(COUNTA(A201:F201)=0,"",IF(OR(A201="",B201="",C201="",D201=""),"Missing required",IF(COUNTIF('Challenges'!$A$5:$A$154,A201)=0,"Unknown challenge ID",IF(COUNTIFS($A$5:$A$404,A201,$B$5:$B$404,B201)&gt;1,"Duplicate option order","Ready"))))</x:f>
      </x:c>
    </x:row>
    <x:row r="202">
      <x:c r="A202" s="65"/>
      <x:c r="B202" s="65"/>
      <x:c r="C202" s="65"/>
      <x:c r="D202" s="65"/>
      <x:c r="E202" s="65"/>
      <x:c r="F202" s="65"/>
      <x:c r="G202" s="68" t="str">
        <x:f>IF(COUNTA(A202:F202)=0,"",IF(OR(A202="",B202="",C202="",D202=""),"Missing required",IF(COUNTIF('Challenges'!$A$5:$A$154,A202)=0,"Unknown challenge ID",IF(COUNTIFS($A$5:$A$404,A202,$B$5:$B$404,B202)&gt;1,"Duplicate option order","Ready"))))</x:f>
      </x:c>
    </x:row>
    <x:row r="203">
      <x:c r="A203" s="65"/>
      <x:c r="B203" s="65"/>
      <x:c r="C203" s="65"/>
      <x:c r="D203" s="65"/>
      <x:c r="E203" s="65"/>
      <x:c r="F203" s="65"/>
      <x:c r="G203" s="68" t="str">
        <x:f>IF(COUNTA(A203:F203)=0,"",IF(OR(A203="",B203="",C203="",D203=""),"Missing required",IF(COUNTIF('Challenges'!$A$5:$A$154,A203)=0,"Unknown challenge ID",IF(COUNTIFS($A$5:$A$404,A203,$B$5:$B$404,B203)&gt;1,"Duplicate option order","Ready"))))</x:f>
      </x:c>
    </x:row>
    <x:row r="204">
      <x:c r="A204" s="65"/>
      <x:c r="B204" s="65"/>
      <x:c r="C204" s="65"/>
      <x:c r="D204" s="65"/>
      <x:c r="E204" s="65"/>
      <x:c r="F204" s="65"/>
      <x:c r="G204" s="68" t="str">
        <x:f>IF(COUNTA(A204:F204)=0,"",IF(OR(A204="",B204="",C204="",D204=""),"Missing required",IF(COUNTIF('Challenges'!$A$5:$A$154,A204)=0,"Unknown challenge ID",IF(COUNTIFS($A$5:$A$404,A204,$B$5:$B$404,B204)&gt;1,"Duplicate option order","Ready"))))</x:f>
      </x:c>
    </x:row>
    <x:row r="205">
      <x:c r="A205" s="65"/>
      <x:c r="B205" s="65"/>
      <x:c r="C205" s="65"/>
      <x:c r="D205" s="65"/>
      <x:c r="E205" s="65"/>
      <x:c r="F205" s="65"/>
      <x:c r="G205" s="68" t="str">
        <x:f>IF(COUNTA(A205:F205)=0,"",IF(OR(A205="",B205="",C205="",D205=""),"Missing required",IF(COUNTIF('Challenges'!$A$5:$A$154,A205)=0,"Unknown challenge ID",IF(COUNTIFS($A$5:$A$404,A205,$B$5:$B$404,B205)&gt;1,"Duplicate option order","Ready"))))</x:f>
      </x:c>
    </x:row>
    <x:row r="206">
      <x:c r="A206" s="65"/>
      <x:c r="B206" s="65"/>
      <x:c r="C206" s="65"/>
      <x:c r="D206" s="65"/>
      <x:c r="E206" s="65"/>
      <x:c r="F206" s="65"/>
      <x:c r="G206" s="68" t="str">
        <x:f>IF(COUNTA(A206:F206)=0,"",IF(OR(A206="",B206="",C206="",D206=""),"Missing required",IF(COUNTIF('Challenges'!$A$5:$A$154,A206)=0,"Unknown challenge ID",IF(COUNTIFS($A$5:$A$404,A206,$B$5:$B$404,B206)&gt;1,"Duplicate option order","Ready"))))</x:f>
      </x:c>
    </x:row>
    <x:row r="207">
      <x:c r="A207" s="65"/>
      <x:c r="B207" s="65"/>
      <x:c r="C207" s="65"/>
      <x:c r="D207" s="65"/>
      <x:c r="E207" s="65"/>
      <x:c r="F207" s="65"/>
      <x:c r="G207" s="68" t="str">
        <x:f>IF(COUNTA(A207:F207)=0,"",IF(OR(A207="",B207="",C207="",D207=""),"Missing required",IF(COUNTIF('Challenges'!$A$5:$A$154,A207)=0,"Unknown challenge ID",IF(COUNTIFS($A$5:$A$404,A207,$B$5:$B$404,B207)&gt;1,"Duplicate option order","Ready"))))</x:f>
      </x:c>
    </x:row>
    <x:row r="208">
      <x:c r="A208" s="65"/>
      <x:c r="B208" s="65"/>
      <x:c r="C208" s="65"/>
      <x:c r="D208" s="65"/>
      <x:c r="E208" s="65"/>
      <x:c r="F208" s="65"/>
      <x:c r="G208" s="68" t="str">
        <x:f>IF(COUNTA(A208:F208)=0,"",IF(OR(A208="",B208="",C208="",D208=""),"Missing required",IF(COUNTIF('Challenges'!$A$5:$A$154,A208)=0,"Unknown challenge ID",IF(COUNTIFS($A$5:$A$404,A208,$B$5:$B$404,B208)&gt;1,"Duplicate option order","Ready"))))</x:f>
      </x:c>
    </x:row>
    <x:row r="209">
      <x:c r="A209" s="65"/>
      <x:c r="B209" s="65"/>
      <x:c r="C209" s="65"/>
      <x:c r="D209" s="65"/>
      <x:c r="E209" s="65"/>
      <x:c r="F209" s="65"/>
      <x:c r="G209" s="68" t="str">
        <x:f>IF(COUNTA(A209:F209)=0,"",IF(OR(A209="",B209="",C209="",D209=""),"Missing required",IF(COUNTIF('Challenges'!$A$5:$A$154,A209)=0,"Unknown challenge ID",IF(COUNTIFS($A$5:$A$404,A209,$B$5:$B$404,B209)&gt;1,"Duplicate option order","Ready"))))</x:f>
      </x:c>
    </x:row>
    <x:row r="210">
      <x:c r="A210" s="65"/>
      <x:c r="B210" s="65"/>
      <x:c r="C210" s="65"/>
      <x:c r="D210" s="65"/>
      <x:c r="E210" s="65"/>
      <x:c r="F210" s="65"/>
      <x:c r="G210" s="68" t="str">
        <x:f>IF(COUNTA(A210:F210)=0,"",IF(OR(A210="",B210="",C210="",D210=""),"Missing required",IF(COUNTIF('Challenges'!$A$5:$A$154,A210)=0,"Unknown challenge ID",IF(COUNTIFS($A$5:$A$404,A210,$B$5:$B$404,B210)&gt;1,"Duplicate option order","Ready"))))</x:f>
      </x:c>
    </x:row>
    <x:row r="211">
      <x:c r="A211" s="65"/>
      <x:c r="B211" s="65"/>
      <x:c r="C211" s="65"/>
      <x:c r="D211" s="65"/>
      <x:c r="E211" s="65"/>
      <x:c r="F211" s="65"/>
      <x:c r="G211" s="68" t="str">
        <x:f>IF(COUNTA(A211:F211)=0,"",IF(OR(A211="",B211="",C211="",D211=""),"Missing required",IF(COUNTIF('Challenges'!$A$5:$A$154,A211)=0,"Unknown challenge ID",IF(COUNTIFS($A$5:$A$404,A211,$B$5:$B$404,B211)&gt;1,"Duplicate option order","Ready"))))</x:f>
      </x:c>
    </x:row>
    <x:row r="212">
      <x:c r="A212" s="65"/>
      <x:c r="B212" s="65"/>
      <x:c r="C212" s="65"/>
      <x:c r="D212" s="65"/>
      <x:c r="E212" s="65"/>
      <x:c r="F212" s="65"/>
      <x:c r="G212" s="68" t="str">
        <x:f>IF(COUNTA(A212:F212)=0,"",IF(OR(A212="",B212="",C212="",D212=""),"Missing required",IF(COUNTIF('Challenges'!$A$5:$A$154,A212)=0,"Unknown challenge ID",IF(COUNTIFS($A$5:$A$404,A212,$B$5:$B$404,B212)&gt;1,"Duplicate option order","Ready"))))</x:f>
      </x:c>
    </x:row>
    <x:row r="213">
      <x:c r="A213" s="65"/>
      <x:c r="B213" s="65"/>
      <x:c r="C213" s="65"/>
      <x:c r="D213" s="65"/>
      <x:c r="E213" s="65"/>
      <x:c r="F213" s="65"/>
      <x:c r="G213" s="68" t="str">
        <x:f>IF(COUNTA(A213:F213)=0,"",IF(OR(A213="",B213="",C213="",D213=""),"Missing required",IF(COUNTIF('Challenges'!$A$5:$A$154,A213)=0,"Unknown challenge ID",IF(COUNTIFS($A$5:$A$404,A213,$B$5:$B$404,B213)&gt;1,"Duplicate option order","Ready"))))</x:f>
      </x:c>
    </x:row>
    <x:row r="214">
      <x:c r="A214" s="65"/>
      <x:c r="B214" s="65"/>
      <x:c r="C214" s="65"/>
      <x:c r="D214" s="65"/>
      <x:c r="E214" s="65"/>
      <x:c r="F214" s="65"/>
      <x:c r="G214" s="68" t="str">
        <x:f>IF(COUNTA(A214:F214)=0,"",IF(OR(A214="",B214="",C214="",D214=""),"Missing required",IF(COUNTIF('Challenges'!$A$5:$A$154,A214)=0,"Unknown challenge ID",IF(COUNTIFS($A$5:$A$404,A214,$B$5:$B$404,B214)&gt;1,"Duplicate option order","Ready"))))</x:f>
      </x:c>
    </x:row>
    <x:row r="215">
      <x:c r="A215" s="65"/>
      <x:c r="B215" s="65"/>
      <x:c r="C215" s="65"/>
      <x:c r="D215" s="65"/>
      <x:c r="E215" s="65"/>
      <x:c r="F215" s="65"/>
      <x:c r="G215" s="68" t="str">
        <x:f>IF(COUNTA(A215:F215)=0,"",IF(OR(A215="",B215="",C215="",D215=""),"Missing required",IF(COUNTIF('Challenges'!$A$5:$A$154,A215)=0,"Unknown challenge ID",IF(COUNTIFS($A$5:$A$404,A215,$B$5:$B$404,B215)&gt;1,"Duplicate option order","Ready"))))</x:f>
      </x:c>
    </x:row>
    <x:row r="216">
      <x:c r="A216" s="65"/>
      <x:c r="B216" s="65"/>
      <x:c r="C216" s="65"/>
      <x:c r="D216" s="65"/>
      <x:c r="E216" s="65"/>
      <x:c r="F216" s="65"/>
      <x:c r="G216" s="68" t="str">
        <x:f>IF(COUNTA(A216:F216)=0,"",IF(OR(A216="",B216="",C216="",D216=""),"Missing required",IF(COUNTIF('Challenges'!$A$5:$A$154,A216)=0,"Unknown challenge ID",IF(COUNTIFS($A$5:$A$404,A216,$B$5:$B$404,B216)&gt;1,"Duplicate option order","Ready"))))</x:f>
      </x:c>
    </x:row>
    <x:row r="217">
      <x:c r="A217" s="65"/>
      <x:c r="B217" s="65"/>
      <x:c r="C217" s="65"/>
      <x:c r="D217" s="65"/>
      <x:c r="E217" s="65"/>
      <x:c r="F217" s="65"/>
      <x:c r="G217" s="68" t="str">
        <x:f>IF(COUNTA(A217:F217)=0,"",IF(OR(A217="",B217="",C217="",D217=""),"Missing required",IF(COUNTIF('Challenges'!$A$5:$A$154,A217)=0,"Unknown challenge ID",IF(COUNTIFS($A$5:$A$404,A217,$B$5:$B$404,B217)&gt;1,"Duplicate option order","Ready"))))</x:f>
      </x:c>
    </x:row>
    <x:row r="218">
      <x:c r="A218" s="65"/>
      <x:c r="B218" s="65"/>
      <x:c r="C218" s="65"/>
      <x:c r="D218" s="65"/>
      <x:c r="E218" s="65"/>
      <x:c r="F218" s="65"/>
      <x:c r="G218" s="68" t="str">
        <x:f>IF(COUNTA(A218:F218)=0,"",IF(OR(A218="",B218="",C218="",D218=""),"Missing required",IF(COUNTIF('Challenges'!$A$5:$A$154,A218)=0,"Unknown challenge ID",IF(COUNTIFS($A$5:$A$404,A218,$B$5:$B$404,B218)&gt;1,"Duplicate option order","Ready"))))</x:f>
      </x:c>
    </x:row>
    <x:row r="219">
      <x:c r="A219" s="65"/>
      <x:c r="B219" s="65"/>
      <x:c r="C219" s="65"/>
      <x:c r="D219" s="65"/>
      <x:c r="E219" s="65"/>
      <x:c r="F219" s="65"/>
      <x:c r="G219" s="68" t="str">
        <x:f>IF(COUNTA(A219:F219)=0,"",IF(OR(A219="",B219="",C219="",D219=""),"Missing required",IF(COUNTIF('Challenges'!$A$5:$A$154,A219)=0,"Unknown challenge ID",IF(COUNTIFS($A$5:$A$404,A219,$B$5:$B$404,B219)&gt;1,"Duplicate option order","Ready"))))</x:f>
      </x:c>
    </x:row>
    <x:row r="220">
      <x:c r="A220" s="65"/>
      <x:c r="B220" s="65"/>
      <x:c r="C220" s="65"/>
      <x:c r="D220" s="65"/>
      <x:c r="E220" s="65"/>
      <x:c r="F220" s="65"/>
      <x:c r="G220" s="68" t="str">
        <x:f>IF(COUNTA(A220:F220)=0,"",IF(OR(A220="",B220="",C220="",D220=""),"Missing required",IF(COUNTIF('Challenges'!$A$5:$A$154,A220)=0,"Unknown challenge ID",IF(COUNTIFS($A$5:$A$404,A220,$B$5:$B$404,B220)&gt;1,"Duplicate option order","Ready"))))</x:f>
      </x:c>
    </x:row>
    <x:row r="221">
      <x:c r="A221" s="65"/>
      <x:c r="B221" s="65"/>
      <x:c r="C221" s="65"/>
      <x:c r="D221" s="65"/>
      <x:c r="E221" s="65"/>
      <x:c r="F221" s="65"/>
      <x:c r="G221" s="68" t="str">
        <x:f>IF(COUNTA(A221:F221)=0,"",IF(OR(A221="",B221="",C221="",D221=""),"Missing required",IF(COUNTIF('Challenges'!$A$5:$A$154,A221)=0,"Unknown challenge ID",IF(COUNTIFS($A$5:$A$404,A221,$B$5:$B$404,B221)&gt;1,"Duplicate option order","Ready"))))</x:f>
      </x:c>
    </x:row>
    <x:row r="222">
      <x:c r="A222" s="65"/>
      <x:c r="B222" s="65"/>
      <x:c r="C222" s="65"/>
      <x:c r="D222" s="65"/>
      <x:c r="E222" s="65"/>
      <x:c r="F222" s="65"/>
      <x:c r="G222" s="68" t="str">
        <x:f>IF(COUNTA(A222:F222)=0,"",IF(OR(A222="",B222="",C222="",D222=""),"Missing required",IF(COUNTIF('Challenges'!$A$5:$A$154,A222)=0,"Unknown challenge ID",IF(COUNTIFS($A$5:$A$404,A222,$B$5:$B$404,B222)&gt;1,"Duplicate option order","Ready"))))</x:f>
      </x:c>
    </x:row>
    <x:row r="223">
      <x:c r="A223" s="65"/>
      <x:c r="B223" s="65"/>
      <x:c r="C223" s="65"/>
      <x:c r="D223" s="65"/>
      <x:c r="E223" s="65"/>
      <x:c r="F223" s="65"/>
      <x:c r="G223" s="68" t="str">
        <x:f>IF(COUNTA(A223:F223)=0,"",IF(OR(A223="",B223="",C223="",D223=""),"Missing required",IF(COUNTIF('Challenges'!$A$5:$A$154,A223)=0,"Unknown challenge ID",IF(COUNTIFS($A$5:$A$404,A223,$B$5:$B$404,B223)&gt;1,"Duplicate option order","Ready"))))</x:f>
      </x:c>
    </x:row>
    <x:row r="224">
      <x:c r="A224" s="65"/>
      <x:c r="B224" s="65"/>
      <x:c r="C224" s="65"/>
      <x:c r="D224" s="65"/>
      <x:c r="E224" s="65"/>
      <x:c r="F224" s="65"/>
      <x:c r="G224" s="68" t="str">
        <x:f>IF(COUNTA(A224:F224)=0,"",IF(OR(A224="",B224="",C224="",D224=""),"Missing required",IF(COUNTIF('Challenges'!$A$5:$A$154,A224)=0,"Unknown challenge ID",IF(COUNTIFS($A$5:$A$404,A224,$B$5:$B$404,B224)&gt;1,"Duplicate option order","Ready"))))</x:f>
      </x:c>
    </x:row>
    <x:row r="225">
      <x:c r="A225" s="65"/>
      <x:c r="B225" s="65"/>
      <x:c r="C225" s="65"/>
      <x:c r="D225" s="65"/>
      <x:c r="E225" s="65"/>
      <x:c r="F225" s="65"/>
      <x:c r="G225" s="68" t="str">
        <x:f>IF(COUNTA(A225:F225)=0,"",IF(OR(A225="",B225="",C225="",D225=""),"Missing required",IF(COUNTIF('Challenges'!$A$5:$A$154,A225)=0,"Unknown challenge ID",IF(COUNTIFS($A$5:$A$404,A225,$B$5:$B$404,B225)&gt;1,"Duplicate option order","Ready"))))</x:f>
      </x:c>
    </x:row>
    <x:row r="226">
      <x:c r="A226" s="65"/>
      <x:c r="B226" s="65"/>
      <x:c r="C226" s="65"/>
      <x:c r="D226" s="65"/>
      <x:c r="E226" s="65"/>
      <x:c r="F226" s="65"/>
      <x:c r="G226" s="68" t="str">
        <x:f>IF(COUNTA(A226:F226)=0,"",IF(OR(A226="",B226="",C226="",D226=""),"Missing required",IF(COUNTIF('Challenges'!$A$5:$A$154,A226)=0,"Unknown challenge ID",IF(COUNTIFS($A$5:$A$404,A226,$B$5:$B$404,B226)&gt;1,"Duplicate option order","Ready"))))</x:f>
      </x:c>
    </x:row>
    <x:row r="227">
      <x:c r="A227" s="65"/>
      <x:c r="B227" s="65"/>
      <x:c r="C227" s="65"/>
      <x:c r="D227" s="65"/>
      <x:c r="E227" s="65"/>
      <x:c r="F227" s="65"/>
      <x:c r="G227" s="68" t="str">
        <x:f>IF(COUNTA(A227:F227)=0,"",IF(OR(A227="",B227="",C227="",D227=""),"Missing required",IF(COUNTIF('Challenges'!$A$5:$A$154,A227)=0,"Unknown challenge ID",IF(COUNTIFS($A$5:$A$404,A227,$B$5:$B$404,B227)&gt;1,"Duplicate option order","Ready"))))</x:f>
      </x:c>
    </x:row>
    <x:row r="228">
      <x:c r="A228" s="65"/>
      <x:c r="B228" s="65"/>
      <x:c r="C228" s="65"/>
      <x:c r="D228" s="65"/>
      <x:c r="E228" s="65"/>
      <x:c r="F228" s="65"/>
      <x:c r="G228" s="68" t="str">
        <x:f>IF(COUNTA(A228:F228)=0,"",IF(OR(A228="",B228="",C228="",D228=""),"Missing required",IF(COUNTIF('Challenges'!$A$5:$A$154,A228)=0,"Unknown challenge ID",IF(COUNTIFS($A$5:$A$404,A228,$B$5:$B$404,B228)&gt;1,"Duplicate option order","Ready"))))</x:f>
      </x:c>
    </x:row>
    <x:row r="229">
      <x:c r="A229" s="65"/>
      <x:c r="B229" s="65"/>
      <x:c r="C229" s="65"/>
      <x:c r="D229" s="65"/>
      <x:c r="E229" s="65"/>
      <x:c r="F229" s="65"/>
      <x:c r="G229" s="68" t="str">
        <x:f>IF(COUNTA(A229:F229)=0,"",IF(OR(A229="",B229="",C229="",D229=""),"Missing required",IF(COUNTIF('Challenges'!$A$5:$A$154,A229)=0,"Unknown challenge ID",IF(COUNTIFS($A$5:$A$404,A229,$B$5:$B$404,B229)&gt;1,"Duplicate option order","Ready"))))</x:f>
      </x:c>
    </x:row>
    <x:row r="230">
      <x:c r="A230" s="65"/>
      <x:c r="B230" s="65"/>
      <x:c r="C230" s="65"/>
      <x:c r="D230" s="65"/>
      <x:c r="E230" s="65"/>
      <x:c r="F230" s="65"/>
      <x:c r="G230" s="68" t="str">
        <x:f>IF(COUNTA(A230:F230)=0,"",IF(OR(A230="",B230="",C230="",D230=""),"Missing required",IF(COUNTIF('Challenges'!$A$5:$A$154,A230)=0,"Unknown challenge ID",IF(COUNTIFS($A$5:$A$404,A230,$B$5:$B$404,B230)&gt;1,"Duplicate option order","Ready"))))</x:f>
      </x:c>
    </x:row>
    <x:row r="231">
      <x:c r="A231" s="65"/>
      <x:c r="B231" s="65"/>
      <x:c r="C231" s="65"/>
      <x:c r="D231" s="65"/>
      <x:c r="E231" s="65"/>
      <x:c r="F231" s="65"/>
      <x:c r="G231" s="68" t="str">
        <x:f>IF(COUNTA(A231:F231)=0,"",IF(OR(A231="",B231="",C231="",D231=""),"Missing required",IF(COUNTIF('Challenges'!$A$5:$A$154,A231)=0,"Unknown challenge ID",IF(COUNTIFS($A$5:$A$404,A231,$B$5:$B$404,B231)&gt;1,"Duplicate option order","Ready"))))</x:f>
      </x:c>
    </x:row>
    <x:row r="232">
      <x:c r="A232" s="65"/>
      <x:c r="B232" s="65"/>
      <x:c r="C232" s="65"/>
      <x:c r="D232" s="65"/>
      <x:c r="E232" s="65"/>
      <x:c r="F232" s="65"/>
      <x:c r="G232" s="68" t="str">
        <x:f>IF(COUNTA(A232:F232)=0,"",IF(OR(A232="",B232="",C232="",D232=""),"Missing required",IF(COUNTIF('Challenges'!$A$5:$A$154,A232)=0,"Unknown challenge ID",IF(COUNTIFS($A$5:$A$404,A232,$B$5:$B$404,B232)&gt;1,"Duplicate option order","Ready"))))</x:f>
      </x:c>
    </x:row>
    <x:row r="233">
      <x:c r="A233" s="65"/>
      <x:c r="B233" s="65"/>
      <x:c r="C233" s="65"/>
      <x:c r="D233" s="65"/>
      <x:c r="E233" s="65"/>
      <x:c r="F233" s="65"/>
      <x:c r="G233" s="68" t="str">
        <x:f>IF(COUNTA(A233:F233)=0,"",IF(OR(A233="",B233="",C233="",D233=""),"Missing required",IF(COUNTIF('Challenges'!$A$5:$A$154,A233)=0,"Unknown challenge ID",IF(COUNTIFS($A$5:$A$404,A233,$B$5:$B$404,B233)&gt;1,"Duplicate option order","Ready"))))</x:f>
      </x:c>
    </x:row>
    <x:row r="234">
      <x:c r="A234" s="65"/>
      <x:c r="B234" s="65"/>
      <x:c r="C234" s="65"/>
      <x:c r="D234" s="65"/>
      <x:c r="E234" s="65"/>
      <x:c r="F234" s="65"/>
      <x:c r="G234" s="68" t="str">
        <x:f>IF(COUNTA(A234:F234)=0,"",IF(OR(A234="",B234="",C234="",D234=""),"Missing required",IF(COUNTIF('Challenges'!$A$5:$A$154,A234)=0,"Unknown challenge ID",IF(COUNTIFS($A$5:$A$404,A234,$B$5:$B$404,B234)&gt;1,"Duplicate option order","Ready"))))</x:f>
      </x:c>
    </x:row>
    <x:row r="235">
      <x:c r="A235" s="65"/>
      <x:c r="B235" s="65"/>
      <x:c r="C235" s="65"/>
      <x:c r="D235" s="65"/>
      <x:c r="E235" s="65"/>
      <x:c r="F235" s="65"/>
      <x:c r="G235" s="68" t="str">
        <x:f>IF(COUNTA(A235:F235)=0,"",IF(OR(A235="",B235="",C235="",D235=""),"Missing required",IF(COUNTIF('Challenges'!$A$5:$A$154,A235)=0,"Unknown challenge ID",IF(COUNTIFS($A$5:$A$404,A235,$B$5:$B$404,B235)&gt;1,"Duplicate option order","Ready"))))</x:f>
      </x:c>
    </x:row>
    <x:row r="236">
      <x:c r="A236" s="65"/>
      <x:c r="B236" s="65"/>
      <x:c r="C236" s="65"/>
      <x:c r="D236" s="65"/>
      <x:c r="E236" s="65"/>
      <x:c r="F236" s="65"/>
      <x:c r="G236" s="68" t="str">
        <x:f>IF(COUNTA(A236:F236)=0,"",IF(OR(A236="",B236="",C236="",D236=""),"Missing required",IF(COUNTIF('Challenges'!$A$5:$A$154,A236)=0,"Unknown challenge ID",IF(COUNTIFS($A$5:$A$404,A236,$B$5:$B$404,B236)&gt;1,"Duplicate option order","Ready"))))</x:f>
      </x:c>
    </x:row>
    <x:row r="237">
      <x:c r="A237" s="65"/>
      <x:c r="B237" s="65"/>
      <x:c r="C237" s="65"/>
      <x:c r="D237" s="65"/>
      <x:c r="E237" s="65"/>
      <x:c r="F237" s="65"/>
      <x:c r="G237" s="68" t="str">
        <x:f>IF(COUNTA(A237:F237)=0,"",IF(OR(A237="",B237="",C237="",D237=""),"Missing required",IF(COUNTIF('Challenges'!$A$5:$A$154,A237)=0,"Unknown challenge ID",IF(COUNTIFS($A$5:$A$404,A237,$B$5:$B$404,B237)&gt;1,"Duplicate option order","Ready"))))</x:f>
      </x:c>
    </x:row>
    <x:row r="238">
      <x:c r="A238" s="65"/>
      <x:c r="B238" s="65"/>
      <x:c r="C238" s="65"/>
      <x:c r="D238" s="65"/>
      <x:c r="E238" s="65"/>
      <x:c r="F238" s="65"/>
      <x:c r="G238" s="68" t="str">
        <x:f>IF(COUNTA(A238:F238)=0,"",IF(OR(A238="",B238="",C238="",D238=""),"Missing required",IF(COUNTIF('Challenges'!$A$5:$A$154,A238)=0,"Unknown challenge ID",IF(COUNTIFS($A$5:$A$404,A238,$B$5:$B$404,B238)&gt;1,"Duplicate option order","Ready"))))</x:f>
      </x:c>
    </x:row>
    <x:row r="239">
      <x:c r="A239" s="65"/>
      <x:c r="B239" s="65"/>
      <x:c r="C239" s="65"/>
      <x:c r="D239" s="65"/>
      <x:c r="E239" s="65"/>
      <x:c r="F239" s="65"/>
      <x:c r="G239" s="68" t="str">
        <x:f>IF(COUNTA(A239:F239)=0,"",IF(OR(A239="",B239="",C239="",D239=""),"Missing required",IF(COUNTIF('Challenges'!$A$5:$A$154,A239)=0,"Unknown challenge ID",IF(COUNTIFS($A$5:$A$404,A239,$B$5:$B$404,B239)&gt;1,"Duplicate option order","Ready"))))</x:f>
      </x:c>
    </x:row>
    <x:row r="240">
      <x:c r="A240" s="65"/>
      <x:c r="B240" s="65"/>
      <x:c r="C240" s="65"/>
      <x:c r="D240" s="65"/>
      <x:c r="E240" s="65"/>
      <x:c r="F240" s="65"/>
      <x:c r="G240" s="68" t="str">
        <x:f>IF(COUNTA(A240:F240)=0,"",IF(OR(A240="",B240="",C240="",D240=""),"Missing required",IF(COUNTIF('Challenges'!$A$5:$A$154,A240)=0,"Unknown challenge ID",IF(COUNTIFS($A$5:$A$404,A240,$B$5:$B$404,B240)&gt;1,"Duplicate option order","Ready"))))</x:f>
      </x:c>
    </x:row>
    <x:row r="241">
      <x:c r="A241" s="65"/>
      <x:c r="B241" s="65"/>
      <x:c r="C241" s="65"/>
      <x:c r="D241" s="65"/>
      <x:c r="E241" s="65"/>
      <x:c r="F241" s="65"/>
      <x:c r="G241" s="68" t="str">
        <x:f>IF(COUNTA(A241:F241)=0,"",IF(OR(A241="",B241="",C241="",D241=""),"Missing required",IF(COUNTIF('Challenges'!$A$5:$A$154,A241)=0,"Unknown challenge ID",IF(COUNTIFS($A$5:$A$404,A241,$B$5:$B$404,B241)&gt;1,"Duplicate option order","Ready"))))</x:f>
      </x:c>
    </x:row>
    <x:row r="242">
      <x:c r="A242" s="65"/>
      <x:c r="B242" s="65"/>
      <x:c r="C242" s="65"/>
      <x:c r="D242" s="65"/>
      <x:c r="E242" s="65"/>
      <x:c r="F242" s="65"/>
      <x:c r="G242" s="68" t="str">
        <x:f>IF(COUNTA(A242:F242)=0,"",IF(OR(A242="",B242="",C242="",D242=""),"Missing required",IF(COUNTIF('Challenges'!$A$5:$A$154,A242)=0,"Unknown challenge ID",IF(COUNTIFS($A$5:$A$404,A242,$B$5:$B$404,B242)&gt;1,"Duplicate option order","Ready"))))</x:f>
      </x:c>
    </x:row>
    <x:row r="243">
      <x:c r="A243" s="65"/>
      <x:c r="B243" s="65"/>
      <x:c r="C243" s="65"/>
      <x:c r="D243" s="65"/>
      <x:c r="E243" s="65"/>
      <x:c r="F243" s="65"/>
      <x:c r="G243" s="68" t="str">
        <x:f>IF(COUNTA(A243:F243)=0,"",IF(OR(A243="",B243="",C243="",D243=""),"Missing required",IF(COUNTIF('Challenges'!$A$5:$A$154,A243)=0,"Unknown challenge ID",IF(COUNTIFS($A$5:$A$404,A243,$B$5:$B$404,B243)&gt;1,"Duplicate option order","Ready"))))</x:f>
      </x:c>
    </x:row>
    <x:row r="244">
      <x:c r="A244" s="65"/>
      <x:c r="B244" s="65"/>
      <x:c r="C244" s="65"/>
      <x:c r="D244" s="65"/>
      <x:c r="E244" s="65"/>
      <x:c r="F244" s="65"/>
      <x:c r="G244" s="68" t="str">
        <x:f>IF(COUNTA(A244:F244)=0,"",IF(OR(A244="",B244="",C244="",D244=""),"Missing required",IF(COUNTIF('Challenges'!$A$5:$A$154,A244)=0,"Unknown challenge ID",IF(COUNTIFS($A$5:$A$404,A244,$B$5:$B$404,B244)&gt;1,"Duplicate option order","Ready"))))</x:f>
      </x:c>
    </x:row>
    <x:row r="245">
      <x:c r="A245" s="65"/>
      <x:c r="B245" s="65"/>
      <x:c r="C245" s="65"/>
      <x:c r="D245" s="65"/>
      <x:c r="E245" s="65"/>
      <x:c r="F245" s="65"/>
      <x:c r="G245" s="68" t="str">
        <x:f>IF(COUNTA(A245:F245)=0,"",IF(OR(A245="",B245="",C245="",D245=""),"Missing required",IF(COUNTIF('Challenges'!$A$5:$A$154,A245)=0,"Unknown challenge ID",IF(COUNTIFS($A$5:$A$404,A245,$B$5:$B$404,B245)&gt;1,"Duplicate option order","Ready"))))</x:f>
      </x:c>
    </x:row>
    <x:row r="246">
      <x:c r="A246" s="65"/>
      <x:c r="B246" s="65"/>
      <x:c r="C246" s="65"/>
      <x:c r="D246" s="65"/>
      <x:c r="E246" s="65"/>
      <x:c r="F246" s="65"/>
      <x:c r="G246" s="68" t="str">
        <x:f>IF(COUNTA(A246:F246)=0,"",IF(OR(A246="",B246="",C246="",D246=""),"Missing required",IF(COUNTIF('Challenges'!$A$5:$A$154,A246)=0,"Unknown challenge ID",IF(COUNTIFS($A$5:$A$404,A246,$B$5:$B$404,B246)&gt;1,"Duplicate option order","Ready"))))</x:f>
      </x:c>
    </x:row>
    <x:row r="247">
      <x:c r="A247" s="65"/>
      <x:c r="B247" s="65"/>
      <x:c r="C247" s="65"/>
      <x:c r="D247" s="65"/>
      <x:c r="E247" s="65"/>
      <x:c r="F247" s="65"/>
      <x:c r="G247" s="68" t="str">
        <x:f>IF(COUNTA(A247:F247)=0,"",IF(OR(A247="",B247="",C247="",D247=""),"Missing required",IF(COUNTIF('Challenges'!$A$5:$A$154,A247)=0,"Unknown challenge ID",IF(COUNTIFS($A$5:$A$404,A247,$B$5:$B$404,B247)&gt;1,"Duplicate option order","Ready"))))</x:f>
      </x:c>
    </x:row>
    <x:row r="248">
      <x:c r="A248" s="65"/>
      <x:c r="B248" s="65"/>
      <x:c r="C248" s="65"/>
      <x:c r="D248" s="65"/>
      <x:c r="E248" s="65"/>
      <x:c r="F248" s="65"/>
      <x:c r="G248" s="68" t="str">
        <x:f>IF(COUNTA(A248:F248)=0,"",IF(OR(A248="",B248="",C248="",D248=""),"Missing required",IF(COUNTIF('Challenges'!$A$5:$A$154,A248)=0,"Unknown challenge ID",IF(COUNTIFS($A$5:$A$404,A248,$B$5:$B$404,B248)&gt;1,"Duplicate option order","Ready"))))</x:f>
      </x:c>
    </x:row>
    <x:row r="249">
      <x:c r="A249" s="65"/>
      <x:c r="B249" s="65"/>
      <x:c r="C249" s="65"/>
      <x:c r="D249" s="65"/>
      <x:c r="E249" s="65"/>
      <x:c r="F249" s="65"/>
      <x:c r="G249" s="68" t="str">
        <x:f>IF(COUNTA(A249:F249)=0,"",IF(OR(A249="",B249="",C249="",D249=""),"Missing required",IF(COUNTIF('Challenges'!$A$5:$A$154,A249)=0,"Unknown challenge ID",IF(COUNTIFS($A$5:$A$404,A249,$B$5:$B$404,B249)&gt;1,"Duplicate option order","Ready"))))</x:f>
      </x:c>
    </x:row>
    <x:row r="250">
      <x:c r="A250" s="65"/>
      <x:c r="B250" s="65"/>
      <x:c r="C250" s="65"/>
      <x:c r="D250" s="65"/>
      <x:c r="E250" s="65"/>
      <x:c r="F250" s="65"/>
      <x:c r="G250" s="68" t="str">
        <x:f>IF(COUNTA(A250:F250)=0,"",IF(OR(A250="",B250="",C250="",D250=""),"Missing required",IF(COUNTIF('Challenges'!$A$5:$A$154,A250)=0,"Unknown challenge ID",IF(COUNTIFS($A$5:$A$404,A250,$B$5:$B$404,B250)&gt;1,"Duplicate option order","Ready"))))</x:f>
      </x:c>
    </x:row>
    <x:row r="251">
      <x:c r="A251" s="65"/>
      <x:c r="B251" s="65"/>
      <x:c r="C251" s="65"/>
      <x:c r="D251" s="65"/>
      <x:c r="E251" s="65"/>
      <x:c r="F251" s="65"/>
      <x:c r="G251" s="68" t="str">
        <x:f>IF(COUNTA(A251:F251)=0,"",IF(OR(A251="",B251="",C251="",D251=""),"Missing required",IF(COUNTIF('Challenges'!$A$5:$A$154,A251)=0,"Unknown challenge ID",IF(COUNTIFS($A$5:$A$404,A251,$B$5:$B$404,B251)&gt;1,"Duplicate option order","Ready"))))</x:f>
      </x:c>
    </x:row>
    <x:row r="252">
      <x:c r="A252" s="65"/>
      <x:c r="B252" s="65"/>
      <x:c r="C252" s="65"/>
      <x:c r="D252" s="65"/>
      <x:c r="E252" s="65"/>
      <x:c r="F252" s="65"/>
      <x:c r="G252" s="68" t="str">
        <x:f>IF(COUNTA(A252:F252)=0,"",IF(OR(A252="",B252="",C252="",D252=""),"Missing required",IF(COUNTIF('Challenges'!$A$5:$A$154,A252)=0,"Unknown challenge ID",IF(COUNTIFS($A$5:$A$404,A252,$B$5:$B$404,B252)&gt;1,"Duplicate option order","Ready"))))</x:f>
      </x:c>
    </x:row>
    <x:row r="253">
      <x:c r="A253" s="65"/>
      <x:c r="B253" s="65"/>
      <x:c r="C253" s="65"/>
      <x:c r="D253" s="65"/>
      <x:c r="E253" s="65"/>
      <x:c r="F253" s="65"/>
      <x:c r="G253" s="68" t="str">
        <x:f>IF(COUNTA(A253:F253)=0,"",IF(OR(A253="",B253="",C253="",D253=""),"Missing required",IF(COUNTIF('Challenges'!$A$5:$A$154,A253)=0,"Unknown challenge ID",IF(COUNTIFS($A$5:$A$404,A253,$B$5:$B$404,B253)&gt;1,"Duplicate option order","Ready"))))</x:f>
      </x:c>
    </x:row>
    <x:row r="254">
      <x:c r="A254" s="65"/>
      <x:c r="B254" s="65"/>
      <x:c r="C254" s="65"/>
      <x:c r="D254" s="65"/>
      <x:c r="E254" s="65"/>
      <x:c r="F254" s="65"/>
      <x:c r="G254" s="68" t="str">
        <x:f>IF(COUNTA(A254:F254)=0,"",IF(OR(A254="",B254="",C254="",D254=""),"Missing required",IF(COUNTIF('Challenges'!$A$5:$A$154,A254)=0,"Unknown challenge ID",IF(COUNTIFS($A$5:$A$404,A254,$B$5:$B$404,B254)&gt;1,"Duplicate option order","Ready"))))</x:f>
      </x:c>
    </x:row>
    <x:row r="255">
      <x:c r="A255" s="65"/>
      <x:c r="B255" s="65"/>
      <x:c r="C255" s="65"/>
      <x:c r="D255" s="65"/>
      <x:c r="E255" s="65"/>
      <x:c r="F255" s="65"/>
      <x:c r="G255" s="68" t="str">
        <x:f>IF(COUNTA(A255:F255)=0,"",IF(OR(A255="",B255="",C255="",D255=""),"Missing required",IF(COUNTIF('Challenges'!$A$5:$A$154,A255)=0,"Unknown challenge ID",IF(COUNTIFS($A$5:$A$404,A255,$B$5:$B$404,B255)&gt;1,"Duplicate option order","Ready"))))</x:f>
      </x:c>
    </x:row>
    <x:row r="256">
      <x:c r="A256" s="65"/>
      <x:c r="B256" s="65"/>
      <x:c r="C256" s="65"/>
      <x:c r="D256" s="65"/>
      <x:c r="E256" s="65"/>
      <x:c r="F256" s="65"/>
      <x:c r="G256" s="68" t="str">
        <x:f>IF(COUNTA(A256:F256)=0,"",IF(OR(A256="",B256="",C256="",D256=""),"Missing required",IF(COUNTIF('Challenges'!$A$5:$A$154,A256)=0,"Unknown challenge ID",IF(COUNTIFS($A$5:$A$404,A256,$B$5:$B$404,B256)&gt;1,"Duplicate option order","Ready"))))</x:f>
      </x:c>
    </x:row>
    <x:row r="257">
      <x:c r="A257" s="65"/>
      <x:c r="B257" s="65"/>
      <x:c r="C257" s="65"/>
      <x:c r="D257" s="65"/>
      <x:c r="E257" s="65"/>
      <x:c r="F257" s="65"/>
      <x:c r="G257" s="68" t="str">
        <x:f>IF(COUNTA(A257:F257)=0,"",IF(OR(A257="",B257="",C257="",D257=""),"Missing required",IF(COUNTIF('Challenges'!$A$5:$A$154,A257)=0,"Unknown challenge ID",IF(COUNTIFS($A$5:$A$404,A257,$B$5:$B$404,B257)&gt;1,"Duplicate option order","Ready"))))</x:f>
      </x:c>
    </x:row>
    <x:row r="258">
      <x:c r="A258" s="65"/>
      <x:c r="B258" s="65"/>
      <x:c r="C258" s="65"/>
      <x:c r="D258" s="65"/>
      <x:c r="E258" s="65"/>
      <x:c r="F258" s="65"/>
      <x:c r="G258" s="68" t="str">
        <x:f>IF(COUNTA(A258:F258)=0,"",IF(OR(A258="",B258="",C258="",D258=""),"Missing required",IF(COUNTIF('Challenges'!$A$5:$A$154,A258)=0,"Unknown challenge ID",IF(COUNTIFS($A$5:$A$404,A258,$B$5:$B$404,B258)&gt;1,"Duplicate option order","Ready"))))</x:f>
      </x:c>
    </x:row>
    <x:row r="259">
      <x:c r="A259" s="65"/>
      <x:c r="B259" s="65"/>
      <x:c r="C259" s="65"/>
      <x:c r="D259" s="65"/>
      <x:c r="E259" s="65"/>
      <x:c r="F259" s="65"/>
      <x:c r="G259" s="68" t="str">
        <x:f>IF(COUNTA(A259:F259)=0,"",IF(OR(A259="",B259="",C259="",D259=""),"Missing required",IF(COUNTIF('Challenges'!$A$5:$A$154,A259)=0,"Unknown challenge ID",IF(COUNTIFS($A$5:$A$404,A259,$B$5:$B$404,B259)&gt;1,"Duplicate option order","Ready"))))</x:f>
      </x:c>
    </x:row>
    <x:row r="260">
      <x:c r="A260" s="65"/>
      <x:c r="B260" s="65"/>
      <x:c r="C260" s="65"/>
      <x:c r="D260" s="65"/>
      <x:c r="E260" s="65"/>
      <x:c r="F260" s="65"/>
      <x:c r="G260" s="68" t="str">
        <x:f>IF(COUNTA(A260:F260)=0,"",IF(OR(A260="",B260="",C260="",D260=""),"Missing required",IF(COUNTIF('Challenges'!$A$5:$A$154,A260)=0,"Unknown challenge ID",IF(COUNTIFS($A$5:$A$404,A260,$B$5:$B$404,B260)&gt;1,"Duplicate option order","Ready"))))</x:f>
      </x:c>
    </x:row>
    <x:row r="261">
      <x:c r="A261" s="65"/>
      <x:c r="B261" s="65"/>
      <x:c r="C261" s="65"/>
      <x:c r="D261" s="65"/>
      <x:c r="E261" s="65"/>
      <x:c r="F261" s="65"/>
      <x:c r="G261" s="68" t="str">
        <x:f>IF(COUNTA(A261:F261)=0,"",IF(OR(A261="",B261="",C261="",D261=""),"Missing required",IF(COUNTIF('Challenges'!$A$5:$A$154,A261)=0,"Unknown challenge ID",IF(COUNTIFS($A$5:$A$404,A261,$B$5:$B$404,B261)&gt;1,"Duplicate option order","Ready"))))</x:f>
      </x:c>
    </x:row>
    <x:row r="262">
      <x:c r="A262" s="65"/>
      <x:c r="B262" s="65"/>
      <x:c r="C262" s="65"/>
      <x:c r="D262" s="65"/>
      <x:c r="E262" s="65"/>
      <x:c r="F262" s="65"/>
      <x:c r="G262" s="68" t="str">
        <x:f>IF(COUNTA(A262:F262)=0,"",IF(OR(A262="",B262="",C262="",D262=""),"Missing required",IF(COUNTIF('Challenges'!$A$5:$A$154,A262)=0,"Unknown challenge ID",IF(COUNTIFS($A$5:$A$404,A262,$B$5:$B$404,B262)&gt;1,"Duplicate option order","Ready"))))</x:f>
      </x:c>
    </x:row>
    <x:row r="263">
      <x:c r="A263" s="65"/>
      <x:c r="B263" s="65"/>
      <x:c r="C263" s="65"/>
      <x:c r="D263" s="65"/>
      <x:c r="E263" s="65"/>
      <x:c r="F263" s="65"/>
      <x:c r="G263" s="68" t="str">
        <x:f>IF(COUNTA(A263:F263)=0,"",IF(OR(A263="",B263="",C263="",D263=""),"Missing required",IF(COUNTIF('Challenges'!$A$5:$A$154,A263)=0,"Unknown challenge ID",IF(COUNTIFS($A$5:$A$404,A263,$B$5:$B$404,B263)&gt;1,"Duplicate option order","Ready"))))</x:f>
      </x:c>
    </x:row>
    <x:row r="264">
      <x:c r="A264" s="65"/>
      <x:c r="B264" s="65"/>
      <x:c r="C264" s="65"/>
      <x:c r="D264" s="65"/>
      <x:c r="E264" s="65"/>
      <x:c r="F264" s="65"/>
      <x:c r="G264" s="68" t="str">
        <x:f>IF(COUNTA(A264:F264)=0,"",IF(OR(A264="",B264="",C264="",D264=""),"Missing required",IF(COUNTIF('Challenges'!$A$5:$A$154,A264)=0,"Unknown challenge ID",IF(COUNTIFS($A$5:$A$404,A264,$B$5:$B$404,B264)&gt;1,"Duplicate option order","Ready"))))</x:f>
      </x:c>
    </x:row>
    <x:row r="265">
      <x:c r="A265" s="65"/>
      <x:c r="B265" s="65"/>
      <x:c r="C265" s="65"/>
      <x:c r="D265" s="65"/>
      <x:c r="E265" s="65"/>
      <x:c r="F265" s="65"/>
      <x:c r="G265" s="68" t="str">
        <x:f>IF(COUNTA(A265:F265)=0,"",IF(OR(A265="",B265="",C265="",D265=""),"Missing required",IF(COUNTIF('Challenges'!$A$5:$A$154,A265)=0,"Unknown challenge ID",IF(COUNTIFS($A$5:$A$404,A265,$B$5:$B$404,B265)&gt;1,"Duplicate option order","Ready"))))</x:f>
      </x:c>
    </x:row>
    <x:row r="266">
      <x:c r="A266" s="65"/>
      <x:c r="B266" s="65"/>
      <x:c r="C266" s="65"/>
      <x:c r="D266" s="65"/>
      <x:c r="E266" s="65"/>
      <x:c r="F266" s="65"/>
      <x:c r="G266" s="68" t="str">
        <x:f>IF(COUNTA(A266:F266)=0,"",IF(OR(A266="",B266="",C266="",D266=""),"Missing required",IF(COUNTIF('Challenges'!$A$5:$A$154,A266)=0,"Unknown challenge ID",IF(COUNTIFS($A$5:$A$404,A266,$B$5:$B$404,B266)&gt;1,"Duplicate option order","Ready"))))</x:f>
      </x:c>
    </x:row>
    <x:row r="267">
      <x:c r="A267" s="65"/>
      <x:c r="B267" s="65"/>
      <x:c r="C267" s="65"/>
      <x:c r="D267" s="65"/>
      <x:c r="E267" s="65"/>
      <x:c r="F267" s="65"/>
      <x:c r="G267" s="68" t="str">
        <x:f>IF(COUNTA(A267:F267)=0,"",IF(OR(A267="",B267="",C267="",D267=""),"Missing required",IF(COUNTIF('Challenges'!$A$5:$A$154,A267)=0,"Unknown challenge ID",IF(COUNTIFS($A$5:$A$404,A267,$B$5:$B$404,B267)&gt;1,"Duplicate option order","Ready"))))</x:f>
      </x:c>
    </x:row>
    <x:row r="268">
      <x:c r="A268" s="65"/>
      <x:c r="B268" s="65"/>
      <x:c r="C268" s="65"/>
      <x:c r="D268" s="65"/>
      <x:c r="E268" s="65"/>
      <x:c r="F268" s="65"/>
      <x:c r="G268" s="68" t="str">
        <x:f>IF(COUNTA(A268:F268)=0,"",IF(OR(A268="",B268="",C268="",D268=""),"Missing required",IF(COUNTIF('Challenges'!$A$5:$A$154,A268)=0,"Unknown challenge ID",IF(COUNTIFS($A$5:$A$404,A268,$B$5:$B$404,B268)&gt;1,"Duplicate option order","Ready"))))</x:f>
      </x:c>
    </x:row>
    <x:row r="269">
      <x:c r="A269" s="65"/>
      <x:c r="B269" s="65"/>
      <x:c r="C269" s="65"/>
      <x:c r="D269" s="65"/>
      <x:c r="E269" s="65"/>
      <x:c r="F269" s="65"/>
      <x:c r="G269" s="68" t="str">
        <x:f>IF(COUNTA(A269:F269)=0,"",IF(OR(A269="",B269="",C269="",D269=""),"Missing required",IF(COUNTIF('Challenges'!$A$5:$A$154,A269)=0,"Unknown challenge ID",IF(COUNTIFS($A$5:$A$404,A269,$B$5:$B$404,B269)&gt;1,"Duplicate option order","Ready"))))</x:f>
      </x:c>
    </x:row>
    <x:row r="270">
      <x:c r="A270" s="65"/>
      <x:c r="B270" s="65"/>
      <x:c r="C270" s="65"/>
      <x:c r="D270" s="65"/>
      <x:c r="E270" s="65"/>
      <x:c r="F270" s="65"/>
      <x:c r="G270" s="68" t="str">
        <x:f>IF(COUNTA(A270:F270)=0,"",IF(OR(A270="",B270="",C270="",D270=""),"Missing required",IF(COUNTIF('Challenges'!$A$5:$A$154,A270)=0,"Unknown challenge ID",IF(COUNTIFS($A$5:$A$404,A270,$B$5:$B$404,B270)&gt;1,"Duplicate option order","Ready"))))</x:f>
      </x:c>
    </x:row>
    <x:row r="271">
      <x:c r="A271" s="65"/>
      <x:c r="B271" s="65"/>
      <x:c r="C271" s="65"/>
      <x:c r="D271" s="65"/>
      <x:c r="E271" s="65"/>
      <x:c r="F271" s="65"/>
      <x:c r="G271" s="68" t="str">
        <x:f>IF(COUNTA(A271:F271)=0,"",IF(OR(A271="",B271="",C271="",D271=""),"Missing required",IF(COUNTIF('Challenges'!$A$5:$A$154,A271)=0,"Unknown challenge ID",IF(COUNTIFS($A$5:$A$404,A271,$B$5:$B$404,B271)&gt;1,"Duplicate option order","Ready"))))</x:f>
      </x:c>
    </x:row>
    <x:row r="272">
      <x:c r="A272" s="65"/>
      <x:c r="B272" s="65"/>
      <x:c r="C272" s="65"/>
      <x:c r="D272" s="65"/>
      <x:c r="E272" s="65"/>
      <x:c r="F272" s="65"/>
      <x:c r="G272" s="68" t="str">
        <x:f>IF(COUNTA(A272:F272)=0,"",IF(OR(A272="",B272="",C272="",D272=""),"Missing required",IF(COUNTIF('Challenges'!$A$5:$A$154,A272)=0,"Unknown challenge ID",IF(COUNTIFS($A$5:$A$404,A272,$B$5:$B$404,B272)&gt;1,"Duplicate option order","Ready"))))</x:f>
      </x:c>
    </x:row>
    <x:row r="273">
      <x:c r="A273" s="65"/>
      <x:c r="B273" s="65"/>
      <x:c r="C273" s="65"/>
      <x:c r="D273" s="65"/>
      <x:c r="E273" s="65"/>
      <x:c r="F273" s="65"/>
      <x:c r="G273" s="68" t="str">
        <x:f>IF(COUNTA(A273:F273)=0,"",IF(OR(A273="",B273="",C273="",D273=""),"Missing required",IF(COUNTIF('Challenges'!$A$5:$A$154,A273)=0,"Unknown challenge ID",IF(COUNTIFS($A$5:$A$404,A273,$B$5:$B$404,B273)&gt;1,"Duplicate option order","Ready"))))</x:f>
      </x:c>
    </x:row>
    <x:row r="274">
      <x:c r="A274" s="65"/>
      <x:c r="B274" s="65"/>
      <x:c r="C274" s="65"/>
      <x:c r="D274" s="65"/>
      <x:c r="E274" s="65"/>
      <x:c r="F274" s="65"/>
      <x:c r="G274" s="68" t="str">
        <x:f>IF(COUNTA(A274:F274)=0,"",IF(OR(A274="",B274="",C274="",D274=""),"Missing required",IF(COUNTIF('Challenges'!$A$5:$A$154,A274)=0,"Unknown challenge ID",IF(COUNTIFS($A$5:$A$404,A274,$B$5:$B$404,B274)&gt;1,"Duplicate option order","Ready"))))</x:f>
      </x:c>
    </x:row>
    <x:row r="275">
      <x:c r="A275" s="65"/>
      <x:c r="B275" s="65"/>
      <x:c r="C275" s="65"/>
      <x:c r="D275" s="65"/>
      <x:c r="E275" s="65"/>
      <x:c r="F275" s="65"/>
      <x:c r="G275" s="68" t="str">
        <x:f>IF(COUNTA(A275:F275)=0,"",IF(OR(A275="",B275="",C275="",D275=""),"Missing required",IF(COUNTIF('Challenges'!$A$5:$A$154,A275)=0,"Unknown challenge ID",IF(COUNTIFS($A$5:$A$404,A275,$B$5:$B$404,B275)&gt;1,"Duplicate option order","Ready"))))</x:f>
      </x:c>
    </x:row>
    <x:row r="276">
      <x:c r="A276" s="65"/>
      <x:c r="B276" s="65"/>
      <x:c r="C276" s="65"/>
      <x:c r="D276" s="65"/>
      <x:c r="E276" s="65"/>
      <x:c r="F276" s="65"/>
      <x:c r="G276" s="68" t="str">
        <x:f>IF(COUNTA(A276:F276)=0,"",IF(OR(A276="",B276="",C276="",D276=""),"Missing required",IF(COUNTIF('Challenges'!$A$5:$A$154,A276)=0,"Unknown challenge ID",IF(COUNTIFS($A$5:$A$404,A276,$B$5:$B$404,B276)&gt;1,"Duplicate option order","Ready"))))</x:f>
      </x:c>
    </x:row>
    <x:row r="277">
      <x:c r="A277" s="65"/>
      <x:c r="B277" s="65"/>
      <x:c r="C277" s="65"/>
      <x:c r="D277" s="65"/>
      <x:c r="E277" s="65"/>
      <x:c r="F277" s="65"/>
      <x:c r="G277" s="68" t="str">
        <x:f>IF(COUNTA(A277:F277)=0,"",IF(OR(A277="",B277="",C277="",D277=""),"Missing required",IF(COUNTIF('Challenges'!$A$5:$A$154,A277)=0,"Unknown challenge ID",IF(COUNTIFS($A$5:$A$404,A277,$B$5:$B$404,B277)&gt;1,"Duplicate option order","Ready"))))</x:f>
      </x:c>
    </x:row>
    <x:row r="278">
      <x:c r="A278" s="65"/>
      <x:c r="B278" s="65"/>
      <x:c r="C278" s="65"/>
      <x:c r="D278" s="65"/>
      <x:c r="E278" s="65"/>
      <x:c r="F278" s="65"/>
      <x:c r="G278" s="68" t="str">
        <x:f>IF(COUNTA(A278:F278)=0,"",IF(OR(A278="",B278="",C278="",D278=""),"Missing required",IF(COUNTIF('Challenges'!$A$5:$A$154,A278)=0,"Unknown challenge ID",IF(COUNTIFS($A$5:$A$404,A278,$B$5:$B$404,B278)&gt;1,"Duplicate option order","Ready"))))</x:f>
      </x:c>
    </x:row>
    <x:row r="279">
      <x:c r="A279" s="65"/>
      <x:c r="B279" s="65"/>
      <x:c r="C279" s="65"/>
      <x:c r="D279" s="65"/>
      <x:c r="E279" s="65"/>
      <x:c r="F279" s="65"/>
      <x:c r="G279" s="68" t="str">
        <x:f>IF(COUNTA(A279:F279)=0,"",IF(OR(A279="",B279="",C279="",D279=""),"Missing required",IF(COUNTIF('Challenges'!$A$5:$A$154,A279)=0,"Unknown challenge ID",IF(COUNTIFS($A$5:$A$404,A279,$B$5:$B$404,B279)&gt;1,"Duplicate option order","Ready"))))</x:f>
      </x:c>
    </x:row>
    <x:row r="280">
      <x:c r="A280" s="65"/>
      <x:c r="B280" s="65"/>
      <x:c r="C280" s="65"/>
      <x:c r="D280" s="65"/>
      <x:c r="E280" s="65"/>
      <x:c r="F280" s="65"/>
      <x:c r="G280" s="68" t="str">
        <x:f>IF(COUNTA(A280:F280)=0,"",IF(OR(A280="",B280="",C280="",D280=""),"Missing required",IF(COUNTIF('Challenges'!$A$5:$A$154,A280)=0,"Unknown challenge ID",IF(COUNTIFS($A$5:$A$404,A280,$B$5:$B$404,B280)&gt;1,"Duplicate option order","Ready"))))</x:f>
      </x:c>
    </x:row>
    <x:row r="281">
      <x:c r="A281" s="65"/>
      <x:c r="B281" s="65"/>
      <x:c r="C281" s="65"/>
      <x:c r="D281" s="65"/>
      <x:c r="E281" s="65"/>
      <x:c r="F281" s="65"/>
      <x:c r="G281" s="68" t="str">
        <x:f>IF(COUNTA(A281:F281)=0,"",IF(OR(A281="",B281="",C281="",D281=""),"Missing required",IF(COUNTIF('Challenges'!$A$5:$A$154,A281)=0,"Unknown challenge ID",IF(COUNTIFS($A$5:$A$404,A281,$B$5:$B$404,B281)&gt;1,"Duplicate option order","Ready"))))</x:f>
      </x:c>
    </x:row>
    <x:row r="282">
      <x:c r="A282" s="65"/>
      <x:c r="B282" s="65"/>
      <x:c r="C282" s="65"/>
      <x:c r="D282" s="65"/>
      <x:c r="E282" s="65"/>
      <x:c r="F282" s="65"/>
      <x:c r="G282" s="68" t="str">
        <x:f>IF(COUNTA(A282:F282)=0,"",IF(OR(A282="",B282="",C282="",D282=""),"Missing required",IF(COUNTIF('Challenges'!$A$5:$A$154,A282)=0,"Unknown challenge ID",IF(COUNTIFS($A$5:$A$404,A282,$B$5:$B$404,B282)&gt;1,"Duplicate option order","Ready"))))</x:f>
      </x:c>
    </x:row>
    <x:row r="283">
      <x:c r="A283" s="65"/>
      <x:c r="B283" s="65"/>
      <x:c r="C283" s="65"/>
      <x:c r="D283" s="65"/>
      <x:c r="E283" s="65"/>
      <x:c r="F283" s="65"/>
      <x:c r="G283" s="68" t="str">
        <x:f>IF(COUNTA(A283:F283)=0,"",IF(OR(A283="",B283="",C283="",D283=""),"Missing required",IF(COUNTIF('Challenges'!$A$5:$A$154,A283)=0,"Unknown challenge ID",IF(COUNTIFS($A$5:$A$404,A283,$B$5:$B$404,B283)&gt;1,"Duplicate option order","Ready"))))</x:f>
      </x:c>
    </x:row>
    <x:row r="284">
      <x:c r="A284" s="65"/>
      <x:c r="B284" s="65"/>
      <x:c r="C284" s="65"/>
      <x:c r="D284" s="65"/>
      <x:c r="E284" s="65"/>
      <x:c r="F284" s="65"/>
      <x:c r="G284" s="68" t="str">
        <x:f>IF(COUNTA(A284:F284)=0,"",IF(OR(A284="",B284="",C284="",D284=""),"Missing required",IF(COUNTIF('Challenges'!$A$5:$A$154,A284)=0,"Unknown challenge ID",IF(COUNTIFS($A$5:$A$404,A284,$B$5:$B$404,B284)&gt;1,"Duplicate option order","Ready"))))</x:f>
      </x:c>
    </x:row>
    <x:row r="285">
      <x:c r="A285" s="65"/>
      <x:c r="B285" s="65"/>
      <x:c r="C285" s="65"/>
      <x:c r="D285" s="65"/>
      <x:c r="E285" s="65"/>
      <x:c r="F285" s="65"/>
      <x:c r="G285" s="68" t="str">
        <x:f>IF(COUNTA(A285:F285)=0,"",IF(OR(A285="",B285="",C285="",D285=""),"Missing required",IF(COUNTIF('Challenges'!$A$5:$A$154,A285)=0,"Unknown challenge ID",IF(COUNTIFS($A$5:$A$404,A285,$B$5:$B$404,B285)&gt;1,"Duplicate option order","Ready"))))</x:f>
      </x:c>
    </x:row>
    <x:row r="286">
      <x:c r="A286" s="65"/>
      <x:c r="B286" s="65"/>
      <x:c r="C286" s="65"/>
      <x:c r="D286" s="65"/>
      <x:c r="E286" s="65"/>
      <x:c r="F286" s="65"/>
      <x:c r="G286" s="68" t="str">
        <x:f>IF(COUNTA(A286:F286)=0,"",IF(OR(A286="",B286="",C286="",D286=""),"Missing required",IF(COUNTIF('Challenges'!$A$5:$A$154,A286)=0,"Unknown challenge ID",IF(COUNTIFS($A$5:$A$404,A286,$B$5:$B$404,B286)&gt;1,"Duplicate option order","Ready"))))</x:f>
      </x:c>
    </x:row>
    <x:row r="287">
      <x:c r="A287" s="65"/>
      <x:c r="B287" s="65"/>
      <x:c r="C287" s="65"/>
      <x:c r="D287" s="65"/>
      <x:c r="E287" s="65"/>
      <x:c r="F287" s="65"/>
      <x:c r="G287" s="68" t="str">
        <x:f>IF(COUNTA(A287:F287)=0,"",IF(OR(A287="",B287="",C287="",D287=""),"Missing required",IF(COUNTIF('Challenges'!$A$5:$A$154,A287)=0,"Unknown challenge ID",IF(COUNTIFS($A$5:$A$404,A287,$B$5:$B$404,B287)&gt;1,"Duplicate option order","Ready"))))</x:f>
      </x:c>
    </x:row>
    <x:row r="288">
      <x:c r="A288" s="65"/>
      <x:c r="B288" s="65"/>
      <x:c r="C288" s="65"/>
      <x:c r="D288" s="65"/>
      <x:c r="E288" s="65"/>
      <x:c r="F288" s="65"/>
      <x:c r="G288" s="68" t="str">
        <x:f>IF(COUNTA(A288:F288)=0,"",IF(OR(A288="",B288="",C288="",D288=""),"Missing required",IF(COUNTIF('Challenges'!$A$5:$A$154,A288)=0,"Unknown challenge ID",IF(COUNTIFS($A$5:$A$404,A288,$B$5:$B$404,B288)&gt;1,"Duplicate option order","Ready"))))</x:f>
      </x:c>
    </x:row>
    <x:row r="289">
      <x:c r="A289" s="65"/>
      <x:c r="B289" s="65"/>
      <x:c r="C289" s="65"/>
      <x:c r="D289" s="65"/>
      <x:c r="E289" s="65"/>
      <x:c r="F289" s="65"/>
      <x:c r="G289" s="68" t="str">
        <x:f>IF(COUNTA(A289:F289)=0,"",IF(OR(A289="",B289="",C289="",D289=""),"Missing required",IF(COUNTIF('Challenges'!$A$5:$A$154,A289)=0,"Unknown challenge ID",IF(COUNTIFS($A$5:$A$404,A289,$B$5:$B$404,B289)&gt;1,"Duplicate option order","Ready"))))</x:f>
      </x:c>
    </x:row>
    <x:row r="290">
      <x:c r="A290" s="65"/>
      <x:c r="B290" s="65"/>
      <x:c r="C290" s="65"/>
      <x:c r="D290" s="65"/>
      <x:c r="E290" s="65"/>
      <x:c r="F290" s="65"/>
      <x:c r="G290" s="68" t="str">
        <x:f>IF(COUNTA(A290:F290)=0,"",IF(OR(A290="",B290="",C290="",D290=""),"Missing required",IF(COUNTIF('Challenges'!$A$5:$A$154,A290)=0,"Unknown challenge ID",IF(COUNTIFS($A$5:$A$404,A290,$B$5:$B$404,B290)&gt;1,"Duplicate option order","Ready"))))</x:f>
      </x:c>
    </x:row>
    <x:row r="291">
      <x:c r="A291" s="65"/>
      <x:c r="B291" s="65"/>
      <x:c r="C291" s="65"/>
      <x:c r="D291" s="65"/>
      <x:c r="E291" s="65"/>
      <x:c r="F291" s="65"/>
      <x:c r="G291" s="68" t="str">
        <x:f>IF(COUNTA(A291:F291)=0,"",IF(OR(A291="",B291="",C291="",D291=""),"Missing required",IF(COUNTIF('Challenges'!$A$5:$A$154,A291)=0,"Unknown challenge ID",IF(COUNTIFS($A$5:$A$404,A291,$B$5:$B$404,B291)&gt;1,"Duplicate option order","Ready"))))</x:f>
      </x:c>
    </x:row>
    <x:row r="292">
      <x:c r="A292" s="65"/>
      <x:c r="B292" s="65"/>
      <x:c r="C292" s="65"/>
      <x:c r="D292" s="65"/>
      <x:c r="E292" s="65"/>
      <x:c r="F292" s="65"/>
      <x:c r="G292" s="68" t="str">
        <x:f>IF(COUNTA(A292:F292)=0,"",IF(OR(A292="",B292="",C292="",D292=""),"Missing required",IF(COUNTIF('Challenges'!$A$5:$A$154,A292)=0,"Unknown challenge ID",IF(COUNTIFS($A$5:$A$404,A292,$B$5:$B$404,B292)&gt;1,"Duplicate option order","Ready"))))</x:f>
      </x:c>
    </x:row>
    <x:row r="293">
      <x:c r="A293" s="65"/>
      <x:c r="B293" s="65"/>
      <x:c r="C293" s="65"/>
      <x:c r="D293" s="65"/>
      <x:c r="E293" s="65"/>
      <x:c r="F293" s="65"/>
      <x:c r="G293" s="68" t="str">
        <x:f>IF(COUNTA(A293:F293)=0,"",IF(OR(A293="",B293="",C293="",D293=""),"Missing required",IF(COUNTIF('Challenges'!$A$5:$A$154,A293)=0,"Unknown challenge ID",IF(COUNTIFS($A$5:$A$404,A293,$B$5:$B$404,B293)&gt;1,"Duplicate option order","Ready"))))</x:f>
      </x:c>
    </x:row>
    <x:row r="294">
      <x:c r="A294" s="65"/>
      <x:c r="B294" s="65"/>
      <x:c r="C294" s="65"/>
      <x:c r="D294" s="65"/>
      <x:c r="E294" s="65"/>
      <x:c r="F294" s="65"/>
      <x:c r="G294" s="68" t="str">
        <x:f>IF(COUNTA(A294:F294)=0,"",IF(OR(A294="",B294="",C294="",D294=""),"Missing required",IF(COUNTIF('Challenges'!$A$5:$A$154,A294)=0,"Unknown challenge ID",IF(COUNTIFS($A$5:$A$404,A294,$B$5:$B$404,B294)&gt;1,"Duplicate option order","Ready"))))</x:f>
      </x:c>
    </x:row>
    <x:row r="295">
      <x:c r="A295" s="65"/>
      <x:c r="B295" s="65"/>
      <x:c r="C295" s="65"/>
      <x:c r="D295" s="65"/>
      <x:c r="E295" s="65"/>
      <x:c r="F295" s="65"/>
      <x:c r="G295" s="68" t="str">
        <x:f>IF(COUNTA(A295:F295)=0,"",IF(OR(A295="",B295="",C295="",D295=""),"Missing required",IF(COUNTIF('Challenges'!$A$5:$A$154,A295)=0,"Unknown challenge ID",IF(COUNTIFS($A$5:$A$404,A295,$B$5:$B$404,B295)&gt;1,"Duplicate option order","Ready"))))</x:f>
      </x:c>
    </x:row>
    <x:row r="296">
      <x:c r="A296" s="65"/>
      <x:c r="B296" s="65"/>
      <x:c r="C296" s="65"/>
      <x:c r="D296" s="65"/>
      <x:c r="E296" s="65"/>
      <x:c r="F296" s="65"/>
      <x:c r="G296" s="68" t="str">
        <x:f>IF(COUNTA(A296:F296)=0,"",IF(OR(A296="",B296="",C296="",D296=""),"Missing required",IF(COUNTIF('Challenges'!$A$5:$A$154,A296)=0,"Unknown challenge ID",IF(COUNTIFS($A$5:$A$404,A296,$B$5:$B$404,B296)&gt;1,"Duplicate option order","Ready"))))</x:f>
      </x:c>
    </x:row>
    <x:row r="297">
      <x:c r="A297" s="65"/>
      <x:c r="B297" s="65"/>
      <x:c r="C297" s="65"/>
      <x:c r="D297" s="65"/>
      <x:c r="E297" s="65"/>
      <x:c r="F297" s="65"/>
      <x:c r="G297" s="68" t="str">
        <x:f>IF(COUNTA(A297:F297)=0,"",IF(OR(A297="",B297="",C297="",D297=""),"Missing required",IF(COUNTIF('Challenges'!$A$5:$A$154,A297)=0,"Unknown challenge ID",IF(COUNTIFS($A$5:$A$404,A297,$B$5:$B$404,B297)&gt;1,"Duplicate option order","Ready"))))</x:f>
      </x:c>
    </x:row>
    <x:row r="298">
      <x:c r="A298" s="65"/>
      <x:c r="B298" s="65"/>
      <x:c r="C298" s="65"/>
      <x:c r="D298" s="65"/>
      <x:c r="E298" s="65"/>
      <x:c r="F298" s="65"/>
      <x:c r="G298" s="68" t="str">
        <x:f>IF(COUNTA(A298:F298)=0,"",IF(OR(A298="",B298="",C298="",D298=""),"Missing required",IF(COUNTIF('Challenges'!$A$5:$A$154,A298)=0,"Unknown challenge ID",IF(COUNTIFS($A$5:$A$404,A298,$B$5:$B$404,B298)&gt;1,"Duplicate option order","Ready"))))</x:f>
      </x:c>
    </x:row>
    <x:row r="299">
      <x:c r="A299" s="65"/>
      <x:c r="B299" s="65"/>
      <x:c r="C299" s="65"/>
      <x:c r="D299" s="65"/>
      <x:c r="E299" s="65"/>
      <x:c r="F299" s="65"/>
      <x:c r="G299" s="68" t="str">
        <x:f>IF(COUNTA(A299:F299)=0,"",IF(OR(A299="",B299="",C299="",D299=""),"Missing required",IF(COUNTIF('Challenges'!$A$5:$A$154,A299)=0,"Unknown challenge ID",IF(COUNTIFS($A$5:$A$404,A299,$B$5:$B$404,B299)&gt;1,"Duplicate option order","Ready"))))</x:f>
      </x:c>
    </x:row>
    <x:row r="300">
      <x:c r="A300" s="65"/>
      <x:c r="B300" s="65"/>
      <x:c r="C300" s="65"/>
      <x:c r="D300" s="65"/>
      <x:c r="E300" s="65"/>
      <x:c r="F300" s="65"/>
      <x:c r="G300" s="68" t="str">
        <x:f>IF(COUNTA(A300:F300)=0,"",IF(OR(A300="",B300="",C300="",D300=""),"Missing required",IF(COUNTIF('Challenges'!$A$5:$A$154,A300)=0,"Unknown challenge ID",IF(COUNTIFS($A$5:$A$404,A300,$B$5:$B$404,B300)&gt;1,"Duplicate option order","Ready"))))</x:f>
      </x:c>
    </x:row>
    <x:row r="301">
      <x:c r="A301" s="65"/>
      <x:c r="B301" s="65"/>
      <x:c r="C301" s="65"/>
      <x:c r="D301" s="65"/>
      <x:c r="E301" s="65"/>
      <x:c r="F301" s="65"/>
      <x:c r="G301" s="68" t="str">
        <x:f>IF(COUNTA(A301:F301)=0,"",IF(OR(A301="",B301="",C301="",D301=""),"Missing required",IF(COUNTIF('Challenges'!$A$5:$A$154,A301)=0,"Unknown challenge ID",IF(COUNTIFS($A$5:$A$404,A301,$B$5:$B$404,B301)&gt;1,"Duplicate option order","Ready"))))</x:f>
      </x:c>
    </x:row>
    <x:row r="302">
      <x:c r="A302" s="65"/>
      <x:c r="B302" s="65"/>
      <x:c r="C302" s="65"/>
      <x:c r="D302" s="65"/>
      <x:c r="E302" s="65"/>
      <x:c r="F302" s="65"/>
      <x:c r="G302" s="68" t="str">
        <x:f>IF(COUNTA(A302:F302)=0,"",IF(OR(A302="",B302="",C302="",D302=""),"Missing required",IF(COUNTIF('Challenges'!$A$5:$A$154,A302)=0,"Unknown challenge ID",IF(COUNTIFS($A$5:$A$404,A302,$B$5:$B$404,B302)&gt;1,"Duplicate option order","Ready"))))</x:f>
      </x:c>
    </x:row>
    <x:row r="303">
      <x:c r="A303" s="65"/>
      <x:c r="B303" s="65"/>
      <x:c r="C303" s="65"/>
      <x:c r="D303" s="65"/>
      <x:c r="E303" s="65"/>
      <x:c r="F303" s="65"/>
      <x:c r="G303" s="68" t="str">
        <x:f>IF(COUNTA(A303:F303)=0,"",IF(OR(A303="",B303="",C303="",D303=""),"Missing required",IF(COUNTIF('Challenges'!$A$5:$A$154,A303)=0,"Unknown challenge ID",IF(COUNTIFS($A$5:$A$404,A303,$B$5:$B$404,B303)&gt;1,"Duplicate option order","Ready"))))</x:f>
      </x:c>
    </x:row>
    <x:row r="304">
      <x:c r="A304" s="65"/>
      <x:c r="B304" s="65"/>
      <x:c r="C304" s="65"/>
      <x:c r="D304" s="65"/>
      <x:c r="E304" s="65"/>
      <x:c r="F304" s="65"/>
      <x:c r="G304" s="68" t="str">
        <x:f>IF(COUNTA(A304:F304)=0,"",IF(OR(A304="",B304="",C304="",D304=""),"Missing required",IF(COUNTIF('Challenges'!$A$5:$A$154,A304)=0,"Unknown challenge ID",IF(COUNTIFS($A$5:$A$404,A304,$B$5:$B$404,B304)&gt;1,"Duplicate option order","Ready"))))</x:f>
      </x:c>
    </x:row>
    <x:row r="305">
      <x:c r="A305" s="65"/>
      <x:c r="B305" s="65"/>
      <x:c r="C305" s="65"/>
      <x:c r="D305" s="65"/>
      <x:c r="E305" s="65"/>
      <x:c r="F305" s="65"/>
      <x:c r="G305" s="68" t="str">
        <x:f>IF(COUNTA(A305:F305)=0,"",IF(OR(A305="",B305="",C305="",D305=""),"Missing required",IF(COUNTIF('Challenges'!$A$5:$A$154,A305)=0,"Unknown challenge ID",IF(COUNTIFS($A$5:$A$404,A305,$B$5:$B$404,B305)&gt;1,"Duplicate option order","Ready"))))</x:f>
      </x:c>
    </x:row>
    <x:row r="306">
      <x:c r="A306" s="65"/>
      <x:c r="B306" s="65"/>
      <x:c r="C306" s="65"/>
      <x:c r="D306" s="65"/>
      <x:c r="E306" s="65"/>
      <x:c r="F306" s="65"/>
      <x:c r="G306" s="68" t="str">
        <x:f>IF(COUNTA(A306:F306)=0,"",IF(OR(A306="",B306="",C306="",D306=""),"Missing required",IF(COUNTIF('Challenges'!$A$5:$A$154,A306)=0,"Unknown challenge ID",IF(COUNTIFS($A$5:$A$404,A306,$B$5:$B$404,B306)&gt;1,"Duplicate option order","Ready"))))</x:f>
      </x:c>
    </x:row>
    <x:row r="307">
      <x:c r="A307" s="65"/>
      <x:c r="B307" s="65"/>
      <x:c r="C307" s="65"/>
      <x:c r="D307" s="65"/>
      <x:c r="E307" s="65"/>
      <x:c r="F307" s="65"/>
      <x:c r="G307" s="68" t="str">
        <x:f>IF(COUNTA(A307:F307)=0,"",IF(OR(A307="",B307="",C307="",D307=""),"Missing required",IF(COUNTIF('Challenges'!$A$5:$A$154,A307)=0,"Unknown challenge ID",IF(COUNTIFS($A$5:$A$404,A307,$B$5:$B$404,B307)&gt;1,"Duplicate option order","Ready"))))</x:f>
      </x:c>
    </x:row>
    <x:row r="308">
      <x:c r="A308" s="65"/>
      <x:c r="B308" s="65"/>
      <x:c r="C308" s="65"/>
      <x:c r="D308" s="65"/>
      <x:c r="E308" s="65"/>
      <x:c r="F308" s="65"/>
      <x:c r="G308" s="68" t="str">
        <x:f>IF(COUNTA(A308:F308)=0,"",IF(OR(A308="",B308="",C308="",D308=""),"Missing required",IF(COUNTIF('Challenges'!$A$5:$A$154,A308)=0,"Unknown challenge ID",IF(COUNTIFS($A$5:$A$404,A308,$B$5:$B$404,B308)&gt;1,"Duplicate option order","Ready"))))</x:f>
      </x:c>
    </x:row>
    <x:row r="309">
      <x:c r="A309" s="65"/>
      <x:c r="B309" s="65"/>
      <x:c r="C309" s="65"/>
      <x:c r="D309" s="65"/>
      <x:c r="E309" s="65"/>
      <x:c r="F309" s="65"/>
      <x:c r="G309" s="68" t="str">
        <x:f>IF(COUNTA(A309:F309)=0,"",IF(OR(A309="",B309="",C309="",D309=""),"Missing required",IF(COUNTIF('Challenges'!$A$5:$A$154,A309)=0,"Unknown challenge ID",IF(COUNTIFS($A$5:$A$404,A309,$B$5:$B$404,B309)&gt;1,"Duplicate option order","Ready"))))</x:f>
      </x:c>
    </x:row>
    <x:row r="310">
      <x:c r="A310" s="65"/>
      <x:c r="B310" s="65"/>
      <x:c r="C310" s="65"/>
      <x:c r="D310" s="65"/>
      <x:c r="E310" s="65"/>
      <x:c r="F310" s="65"/>
      <x:c r="G310" s="68" t="str">
        <x:f>IF(COUNTA(A310:F310)=0,"",IF(OR(A310="",B310="",C310="",D310=""),"Missing required",IF(COUNTIF('Challenges'!$A$5:$A$154,A310)=0,"Unknown challenge ID",IF(COUNTIFS($A$5:$A$404,A310,$B$5:$B$404,B310)&gt;1,"Duplicate option order","Ready"))))</x:f>
      </x:c>
    </x:row>
    <x:row r="311">
      <x:c r="A311" s="65"/>
      <x:c r="B311" s="65"/>
      <x:c r="C311" s="65"/>
      <x:c r="D311" s="65"/>
      <x:c r="E311" s="65"/>
      <x:c r="F311" s="65"/>
      <x:c r="G311" s="68" t="str">
        <x:f>IF(COUNTA(A311:F311)=0,"",IF(OR(A311="",B311="",C311="",D311=""),"Missing required",IF(COUNTIF('Challenges'!$A$5:$A$154,A311)=0,"Unknown challenge ID",IF(COUNTIFS($A$5:$A$404,A311,$B$5:$B$404,B311)&gt;1,"Duplicate option order","Ready"))))</x:f>
      </x:c>
    </x:row>
    <x:row r="312">
      <x:c r="A312" s="65"/>
      <x:c r="B312" s="65"/>
      <x:c r="C312" s="65"/>
      <x:c r="D312" s="65"/>
      <x:c r="E312" s="65"/>
      <x:c r="F312" s="65"/>
      <x:c r="G312" s="68" t="str">
        <x:f>IF(COUNTA(A312:F312)=0,"",IF(OR(A312="",B312="",C312="",D312=""),"Missing required",IF(COUNTIF('Challenges'!$A$5:$A$154,A312)=0,"Unknown challenge ID",IF(COUNTIFS($A$5:$A$404,A312,$B$5:$B$404,B312)&gt;1,"Duplicate option order","Ready"))))</x:f>
      </x:c>
    </x:row>
    <x:row r="313">
      <x:c r="A313" s="65"/>
      <x:c r="B313" s="65"/>
      <x:c r="C313" s="65"/>
      <x:c r="D313" s="65"/>
      <x:c r="E313" s="65"/>
      <x:c r="F313" s="65"/>
      <x:c r="G313" s="68" t="str">
        <x:f>IF(COUNTA(A313:F313)=0,"",IF(OR(A313="",B313="",C313="",D313=""),"Missing required",IF(COUNTIF('Challenges'!$A$5:$A$154,A313)=0,"Unknown challenge ID",IF(COUNTIFS($A$5:$A$404,A313,$B$5:$B$404,B313)&gt;1,"Duplicate option order","Ready"))))</x:f>
      </x:c>
    </x:row>
    <x:row r="314">
      <x:c r="A314" s="65"/>
      <x:c r="B314" s="65"/>
      <x:c r="C314" s="65"/>
      <x:c r="D314" s="65"/>
      <x:c r="E314" s="65"/>
      <x:c r="F314" s="65"/>
      <x:c r="G314" s="68" t="str">
        <x:f>IF(COUNTA(A314:F314)=0,"",IF(OR(A314="",B314="",C314="",D314=""),"Missing required",IF(COUNTIF('Challenges'!$A$5:$A$154,A314)=0,"Unknown challenge ID",IF(COUNTIFS($A$5:$A$404,A314,$B$5:$B$404,B314)&gt;1,"Duplicate option order","Ready"))))</x:f>
      </x:c>
    </x:row>
    <x:row r="315">
      <x:c r="A315" s="65"/>
      <x:c r="B315" s="65"/>
      <x:c r="C315" s="65"/>
      <x:c r="D315" s="65"/>
      <x:c r="E315" s="65"/>
      <x:c r="F315" s="65"/>
      <x:c r="G315" s="68" t="str">
        <x:f>IF(COUNTA(A315:F315)=0,"",IF(OR(A315="",B315="",C315="",D315=""),"Missing required",IF(COUNTIF('Challenges'!$A$5:$A$154,A315)=0,"Unknown challenge ID",IF(COUNTIFS($A$5:$A$404,A315,$B$5:$B$404,B315)&gt;1,"Duplicate option order","Ready"))))</x:f>
      </x:c>
    </x:row>
    <x:row r="316">
      <x:c r="A316" s="65"/>
      <x:c r="B316" s="65"/>
      <x:c r="C316" s="65"/>
      <x:c r="D316" s="65"/>
      <x:c r="E316" s="65"/>
      <x:c r="F316" s="65"/>
      <x:c r="G316" s="68" t="str">
        <x:f>IF(COUNTA(A316:F316)=0,"",IF(OR(A316="",B316="",C316="",D316=""),"Missing required",IF(COUNTIF('Challenges'!$A$5:$A$154,A316)=0,"Unknown challenge ID",IF(COUNTIFS($A$5:$A$404,A316,$B$5:$B$404,B316)&gt;1,"Duplicate option order","Ready"))))</x:f>
      </x:c>
    </x:row>
    <x:row r="317">
      <x:c r="A317" s="65"/>
      <x:c r="B317" s="65"/>
      <x:c r="C317" s="65"/>
      <x:c r="D317" s="65"/>
      <x:c r="E317" s="65"/>
      <x:c r="F317" s="65"/>
      <x:c r="G317" s="68" t="str">
        <x:f>IF(COUNTA(A317:F317)=0,"",IF(OR(A317="",B317="",C317="",D317=""),"Missing required",IF(COUNTIF('Challenges'!$A$5:$A$154,A317)=0,"Unknown challenge ID",IF(COUNTIFS($A$5:$A$404,A317,$B$5:$B$404,B317)&gt;1,"Duplicate option order","Ready"))))</x:f>
      </x:c>
    </x:row>
    <x:row r="318">
      <x:c r="A318" s="65"/>
      <x:c r="B318" s="65"/>
      <x:c r="C318" s="65"/>
      <x:c r="D318" s="65"/>
      <x:c r="E318" s="65"/>
      <x:c r="F318" s="65"/>
      <x:c r="G318" s="68" t="str">
        <x:f>IF(COUNTA(A318:F318)=0,"",IF(OR(A318="",B318="",C318="",D318=""),"Missing required",IF(COUNTIF('Challenges'!$A$5:$A$154,A318)=0,"Unknown challenge ID",IF(COUNTIFS($A$5:$A$404,A318,$B$5:$B$404,B318)&gt;1,"Duplicate option order","Ready"))))</x:f>
      </x:c>
    </x:row>
    <x:row r="319">
      <x:c r="A319" s="65"/>
      <x:c r="B319" s="65"/>
      <x:c r="C319" s="65"/>
      <x:c r="D319" s="65"/>
      <x:c r="E319" s="65"/>
      <x:c r="F319" s="65"/>
      <x:c r="G319" s="68" t="str">
        <x:f>IF(COUNTA(A319:F319)=0,"",IF(OR(A319="",B319="",C319="",D319=""),"Missing required",IF(COUNTIF('Challenges'!$A$5:$A$154,A319)=0,"Unknown challenge ID",IF(COUNTIFS($A$5:$A$404,A319,$B$5:$B$404,B319)&gt;1,"Duplicate option order","Ready"))))</x:f>
      </x:c>
    </x:row>
    <x:row r="320">
      <x:c r="A320" s="65"/>
      <x:c r="B320" s="65"/>
      <x:c r="C320" s="65"/>
      <x:c r="D320" s="65"/>
      <x:c r="E320" s="65"/>
      <x:c r="F320" s="65"/>
      <x:c r="G320" s="68" t="str">
        <x:f>IF(COUNTA(A320:F320)=0,"",IF(OR(A320="",B320="",C320="",D320=""),"Missing required",IF(COUNTIF('Challenges'!$A$5:$A$154,A320)=0,"Unknown challenge ID",IF(COUNTIFS($A$5:$A$404,A320,$B$5:$B$404,B320)&gt;1,"Duplicate option order","Ready"))))</x:f>
      </x:c>
    </x:row>
    <x:row r="321">
      <x:c r="A321" s="65"/>
      <x:c r="B321" s="65"/>
      <x:c r="C321" s="65"/>
      <x:c r="D321" s="65"/>
      <x:c r="E321" s="65"/>
      <x:c r="F321" s="65"/>
      <x:c r="G321" s="68" t="str">
        <x:f>IF(COUNTA(A321:F321)=0,"",IF(OR(A321="",B321="",C321="",D321=""),"Missing required",IF(COUNTIF('Challenges'!$A$5:$A$154,A321)=0,"Unknown challenge ID",IF(COUNTIFS($A$5:$A$404,A321,$B$5:$B$404,B321)&gt;1,"Duplicate option order","Ready"))))</x:f>
      </x:c>
    </x:row>
    <x:row r="322">
      <x:c r="A322" s="65"/>
      <x:c r="B322" s="65"/>
      <x:c r="C322" s="65"/>
      <x:c r="D322" s="65"/>
      <x:c r="E322" s="65"/>
      <x:c r="F322" s="65"/>
      <x:c r="G322" s="68" t="str">
        <x:f>IF(COUNTA(A322:F322)=0,"",IF(OR(A322="",B322="",C322="",D322=""),"Missing required",IF(COUNTIF('Challenges'!$A$5:$A$154,A322)=0,"Unknown challenge ID",IF(COUNTIFS($A$5:$A$404,A322,$B$5:$B$404,B322)&gt;1,"Duplicate option order","Ready"))))</x:f>
      </x:c>
    </x:row>
    <x:row r="323">
      <x:c r="A323" s="65"/>
      <x:c r="B323" s="65"/>
      <x:c r="C323" s="65"/>
      <x:c r="D323" s="65"/>
      <x:c r="E323" s="65"/>
      <x:c r="F323" s="65"/>
      <x:c r="G323" s="68" t="str">
        <x:f>IF(COUNTA(A323:F323)=0,"",IF(OR(A323="",B323="",C323="",D323=""),"Missing required",IF(COUNTIF('Challenges'!$A$5:$A$154,A323)=0,"Unknown challenge ID",IF(COUNTIFS($A$5:$A$404,A323,$B$5:$B$404,B323)&gt;1,"Duplicate option order","Ready"))))</x:f>
      </x:c>
    </x:row>
    <x:row r="324">
      <x:c r="A324" s="65"/>
      <x:c r="B324" s="65"/>
      <x:c r="C324" s="65"/>
      <x:c r="D324" s="65"/>
      <x:c r="E324" s="65"/>
      <x:c r="F324" s="65"/>
      <x:c r="G324" s="68" t="str">
        <x:f>IF(COUNTA(A324:F324)=0,"",IF(OR(A324="",B324="",C324="",D324=""),"Missing required",IF(COUNTIF('Challenges'!$A$5:$A$154,A324)=0,"Unknown challenge ID",IF(COUNTIFS($A$5:$A$404,A324,$B$5:$B$404,B324)&gt;1,"Duplicate option order","Ready"))))</x:f>
      </x:c>
    </x:row>
    <x:row r="325">
      <x:c r="A325" s="65"/>
      <x:c r="B325" s="65"/>
      <x:c r="C325" s="65"/>
      <x:c r="D325" s="65"/>
      <x:c r="E325" s="65"/>
      <x:c r="F325" s="65"/>
      <x:c r="G325" s="68" t="str">
        <x:f>IF(COUNTA(A325:F325)=0,"",IF(OR(A325="",B325="",C325="",D325=""),"Missing required",IF(COUNTIF('Challenges'!$A$5:$A$154,A325)=0,"Unknown challenge ID",IF(COUNTIFS($A$5:$A$404,A325,$B$5:$B$404,B325)&gt;1,"Duplicate option order","Ready"))))</x:f>
      </x:c>
    </x:row>
    <x:row r="326">
      <x:c r="A326" s="65"/>
      <x:c r="B326" s="65"/>
      <x:c r="C326" s="65"/>
      <x:c r="D326" s="65"/>
      <x:c r="E326" s="65"/>
      <x:c r="F326" s="65"/>
      <x:c r="G326" s="68" t="str">
        <x:f>IF(COUNTA(A326:F326)=0,"",IF(OR(A326="",B326="",C326="",D326=""),"Missing required",IF(COUNTIF('Challenges'!$A$5:$A$154,A326)=0,"Unknown challenge ID",IF(COUNTIFS($A$5:$A$404,A326,$B$5:$B$404,B326)&gt;1,"Duplicate option order","Ready"))))</x:f>
      </x:c>
    </x:row>
    <x:row r="327">
      <x:c r="A327" s="65"/>
      <x:c r="B327" s="65"/>
      <x:c r="C327" s="65"/>
      <x:c r="D327" s="65"/>
      <x:c r="E327" s="65"/>
      <x:c r="F327" s="65"/>
      <x:c r="G327" s="68" t="str">
        <x:f>IF(COUNTA(A327:F327)=0,"",IF(OR(A327="",B327="",C327="",D327=""),"Missing required",IF(COUNTIF('Challenges'!$A$5:$A$154,A327)=0,"Unknown challenge ID",IF(COUNTIFS($A$5:$A$404,A327,$B$5:$B$404,B327)&gt;1,"Duplicate option order","Ready"))))</x:f>
      </x:c>
    </x:row>
    <x:row r="328">
      <x:c r="A328" s="65"/>
      <x:c r="B328" s="65"/>
      <x:c r="C328" s="65"/>
      <x:c r="D328" s="65"/>
      <x:c r="E328" s="65"/>
      <x:c r="F328" s="65"/>
      <x:c r="G328" s="68" t="str">
        <x:f>IF(COUNTA(A328:F328)=0,"",IF(OR(A328="",B328="",C328="",D328=""),"Missing required",IF(COUNTIF('Challenges'!$A$5:$A$154,A328)=0,"Unknown challenge ID",IF(COUNTIFS($A$5:$A$404,A328,$B$5:$B$404,B328)&gt;1,"Duplicate option order","Ready"))))</x:f>
      </x:c>
    </x:row>
    <x:row r="329">
      <x:c r="A329" s="65"/>
      <x:c r="B329" s="65"/>
      <x:c r="C329" s="65"/>
      <x:c r="D329" s="65"/>
      <x:c r="E329" s="65"/>
      <x:c r="F329" s="65"/>
      <x:c r="G329" s="68" t="str">
        <x:f>IF(COUNTA(A329:F329)=0,"",IF(OR(A329="",B329="",C329="",D329=""),"Missing required",IF(COUNTIF('Challenges'!$A$5:$A$154,A329)=0,"Unknown challenge ID",IF(COUNTIFS($A$5:$A$404,A329,$B$5:$B$404,B329)&gt;1,"Duplicate option order","Ready"))))</x:f>
      </x:c>
    </x:row>
    <x:row r="330">
      <x:c r="A330" s="65"/>
      <x:c r="B330" s="65"/>
      <x:c r="C330" s="65"/>
      <x:c r="D330" s="65"/>
      <x:c r="E330" s="65"/>
      <x:c r="F330" s="65"/>
      <x:c r="G330" s="68" t="str">
        <x:f>IF(COUNTA(A330:F330)=0,"",IF(OR(A330="",B330="",C330="",D330=""),"Missing required",IF(COUNTIF('Challenges'!$A$5:$A$154,A330)=0,"Unknown challenge ID",IF(COUNTIFS($A$5:$A$404,A330,$B$5:$B$404,B330)&gt;1,"Duplicate option order","Ready"))))</x:f>
      </x:c>
    </x:row>
    <x:row r="331">
      <x:c r="A331" s="65"/>
      <x:c r="B331" s="65"/>
      <x:c r="C331" s="65"/>
      <x:c r="D331" s="65"/>
      <x:c r="E331" s="65"/>
      <x:c r="F331" s="65"/>
      <x:c r="G331" s="68" t="str">
        <x:f>IF(COUNTA(A331:F331)=0,"",IF(OR(A331="",B331="",C331="",D331=""),"Missing required",IF(COUNTIF('Challenges'!$A$5:$A$154,A331)=0,"Unknown challenge ID",IF(COUNTIFS($A$5:$A$404,A331,$B$5:$B$404,B331)&gt;1,"Duplicate option order","Ready"))))</x:f>
      </x:c>
    </x:row>
    <x:row r="332">
      <x:c r="A332" s="65"/>
      <x:c r="B332" s="65"/>
      <x:c r="C332" s="65"/>
      <x:c r="D332" s="65"/>
      <x:c r="E332" s="65"/>
      <x:c r="F332" s="65"/>
      <x:c r="G332" s="68" t="str">
        <x:f>IF(COUNTA(A332:F332)=0,"",IF(OR(A332="",B332="",C332="",D332=""),"Missing required",IF(COUNTIF('Challenges'!$A$5:$A$154,A332)=0,"Unknown challenge ID",IF(COUNTIFS($A$5:$A$404,A332,$B$5:$B$404,B332)&gt;1,"Duplicate option order","Ready"))))</x:f>
      </x:c>
    </x:row>
    <x:row r="333">
      <x:c r="A333" s="65"/>
      <x:c r="B333" s="65"/>
      <x:c r="C333" s="65"/>
      <x:c r="D333" s="65"/>
      <x:c r="E333" s="65"/>
      <x:c r="F333" s="65"/>
      <x:c r="G333" s="68" t="str">
        <x:f>IF(COUNTA(A333:F333)=0,"",IF(OR(A333="",B333="",C333="",D333=""),"Missing required",IF(COUNTIF('Challenges'!$A$5:$A$154,A333)=0,"Unknown challenge ID",IF(COUNTIFS($A$5:$A$404,A333,$B$5:$B$404,B333)&gt;1,"Duplicate option order","Ready"))))</x:f>
      </x:c>
    </x:row>
    <x:row r="334">
      <x:c r="A334" s="65"/>
      <x:c r="B334" s="65"/>
      <x:c r="C334" s="65"/>
      <x:c r="D334" s="65"/>
      <x:c r="E334" s="65"/>
      <x:c r="F334" s="65"/>
      <x:c r="G334" s="68" t="str">
        <x:f>IF(COUNTA(A334:F334)=0,"",IF(OR(A334="",B334="",C334="",D334=""),"Missing required",IF(COUNTIF('Challenges'!$A$5:$A$154,A334)=0,"Unknown challenge ID",IF(COUNTIFS($A$5:$A$404,A334,$B$5:$B$404,B334)&gt;1,"Duplicate option order","Ready"))))</x:f>
      </x:c>
    </x:row>
    <x:row r="335">
      <x:c r="A335" s="65"/>
      <x:c r="B335" s="65"/>
      <x:c r="C335" s="65"/>
      <x:c r="D335" s="65"/>
      <x:c r="E335" s="65"/>
      <x:c r="F335" s="65"/>
      <x:c r="G335" s="68" t="str">
        <x:f>IF(COUNTA(A335:F335)=0,"",IF(OR(A335="",B335="",C335="",D335=""),"Missing required",IF(COUNTIF('Challenges'!$A$5:$A$154,A335)=0,"Unknown challenge ID",IF(COUNTIFS($A$5:$A$404,A335,$B$5:$B$404,B335)&gt;1,"Duplicate option order","Ready"))))</x:f>
      </x:c>
    </x:row>
    <x:row r="336">
      <x:c r="A336" s="65"/>
      <x:c r="B336" s="65"/>
      <x:c r="C336" s="65"/>
      <x:c r="D336" s="65"/>
      <x:c r="E336" s="65"/>
      <x:c r="F336" s="65"/>
      <x:c r="G336" s="68" t="str">
        <x:f>IF(COUNTA(A336:F336)=0,"",IF(OR(A336="",B336="",C336="",D336=""),"Missing required",IF(COUNTIF('Challenges'!$A$5:$A$154,A336)=0,"Unknown challenge ID",IF(COUNTIFS($A$5:$A$404,A336,$B$5:$B$404,B336)&gt;1,"Duplicate option order","Ready"))))</x:f>
      </x:c>
    </x:row>
    <x:row r="337">
      <x:c r="A337" s="65"/>
      <x:c r="B337" s="65"/>
      <x:c r="C337" s="65"/>
      <x:c r="D337" s="65"/>
      <x:c r="E337" s="65"/>
      <x:c r="F337" s="65"/>
      <x:c r="G337" s="68" t="str">
        <x:f>IF(COUNTA(A337:F337)=0,"",IF(OR(A337="",B337="",C337="",D337=""),"Missing required",IF(COUNTIF('Challenges'!$A$5:$A$154,A337)=0,"Unknown challenge ID",IF(COUNTIFS($A$5:$A$404,A337,$B$5:$B$404,B337)&gt;1,"Duplicate option order","Ready"))))</x:f>
      </x:c>
    </x:row>
    <x:row r="338">
      <x:c r="A338" s="65"/>
      <x:c r="B338" s="65"/>
      <x:c r="C338" s="65"/>
      <x:c r="D338" s="65"/>
      <x:c r="E338" s="65"/>
      <x:c r="F338" s="65"/>
      <x:c r="G338" s="68" t="str">
        <x:f>IF(COUNTA(A338:F338)=0,"",IF(OR(A338="",B338="",C338="",D338=""),"Missing required",IF(COUNTIF('Challenges'!$A$5:$A$154,A338)=0,"Unknown challenge ID",IF(COUNTIFS($A$5:$A$404,A338,$B$5:$B$404,B338)&gt;1,"Duplicate option order","Ready"))))</x:f>
      </x:c>
    </x:row>
    <x:row r="339">
      <x:c r="A339" s="65"/>
      <x:c r="B339" s="65"/>
      <x:c r="C339" s="65"/>
      <x:c r="D339" s="65"/>
      <x:c r="E339" s="65"/>
      <x:c r="F339" s="65"/>
      <x:c r="G339" s="68" t="str">
        <x:f>IF(COUNTA(A339:F339)=0,"",IF(OR(A339="",B339="",C339="",D339=""),"Missing required",IF(COUNTIF('Challenges'!$A$5:$A$154,A339)=0,"Unknown challenge ID",IF(COUNTIFS($A$5:$A$404,A339,$B$5:$B$404,B339)&gt;1,"Duplicate option order","Ready"))))</x:f>
      </x:c>
    </x:row>
    <x:row r="340">
      <x:c r="A340" s="65"/>
      <x:c r="B340" s="65"/>
      <x:c r="C340" s="65"/>
      <x:c r="D340" s="65"/>
      <x:c r="E340" s="65"/>
      <x:c r="F340" s="65"/>
      <x:c r="G340" s="68" t="str">
        <x:f>IF(COUNTA(A340:F340)=0,"",IF(OR(A340="",B340="",C340="",D340=""),"Missing required",IF(COUNTIF('Challenges'!$A$5:$A$154,A340)=0,"Unknown challenge ID",IF(COUNTIFS($A$5:$A$404,A340,$B$5:$B$404,B340)&gt;1,"Duplicate option order","Ready"))))</x:f>
      </x:c>
    </x:row>
    <x:row r="341">
      <x:c r="A341" s="65"/>
      <x:c r="B341" s="65"/>
      <x:c r="C341" s="65"/>
      <x:c r="D341" s="65"/>
      <x:c r="E341" s="65"/>
      <x:c r="F341" s="65"/>
      <x:c r="G341" s="68" t="str">
        <x:f>IF(COUNTA(A341:F341)=0,"",IF(OR(A341="",B341="",C341="",D341=""),"Missing required",IF(COUNTIF('Challenges'!$A$5:$A$154,A341)=0,"Unknown challenge ID",IF(COUNTIFS($A$5:$A$404,A341,$B$5:$B$404,B341)&gt;1,"Duplicate option order","Ready"))))</x:f>
      </x:c>
    </x:row>
    <x:row r="342">
      <x:c r="A342" s="65"/>
      <x:c r="B342" s="65"/>
      <x:c r="C342" s="65"/>
      <x:c r="D342" s="65"/>
      <x:c r="E342" s="65"/>
      <x:c r="F342" s="65"/>
      <x:c r="G342" s="68" t="str">
        <x:f>IF(COUNTA(A342:F342)=0,"",IF(OR(A342="",B342="",C342="",D342=""),"Missing required",IF(COUNTIF('Challenges'!$A$5:$A$154,A342)=0,"Unknown challenge ID",IF(COUNTIFS($A$5:$A$404,A342,$B$5:$B$404,B342)&gt;1,"Duplicate option order","Ready"))))</x:f>
      </x:c>
    </x:row>
    <x:row r="343">
      <x:c r="A343" s="65"/>
      <x:c r="B343" s="65"/>
      <x:c r="C343" s="65"/>
      <x:c r="D343" s="65"/>
      <x:c r="E343" s="65"/>
      <x:c r="F343" s="65"/>
      <x:c r="G343" s="68" t="str">
        <x:f>IF(COUNTA(A343:F343)=0,"",IF(OR(A343="",B343="",C343="",D343=""),"Missing required",IF(COUNTIF('Challenges'!$A$5:$A$154,A343)=0,"Unknown challenge ID",IF(COUNTIFS($A$5:$A$404,A343,$B$5:$B$404,B343)&gt;1,"Duplicate option order","Ready"))))</x:f>
      </x:c>
    </x:row>
    <x:row r="344">
      <x:c r="A344" s="65"/>
      <x:c r="B344" s="65"/>
      <x:c r="C344" s="65"/>
      <x:c r="D344" s="65"/>
      <x:c r="E344" s="65"/>
      <x:c r="F344" s="65"/>
      <x:c r="G344" s="68" t="str">
        <x:f>IF(COUNTA(A344:F344)=0,"",IF(OR(A344="",B344="",C344="",D344=""),"Missing required",IF(COUNTIF('Challenges'!$A$5:$A$154,A344)=0,"Unknown challenge ID",IF(COUNTIFS($A$5:$A$404,A344,$B$5:$B$404,B344)&gt;1,"Duplicate option order","Ready"))))</x:f>
      </x:c>
    </x:row>
    <x:row r="345">
      <x:c r="A345" s="65"/>
      <x:c r="B345" s="65"/>
      <x:c r="C345" s="65"/>
      <x:c r="D345" s="65"/>
      <x:c r="E345" s="65"/>
      <x:c r="F345" s="65"/>
      <x:c r="G345" s="68" t="str">
        <x:f>IF(COUNTA(A345:F345)=0,"",IF(OR(A345="",B345="",C345="",D345=""),"Missing required",IF(COUNTIF('Challenges'!$A$5:$A$154,A345)=0,"Unknown challenge ID",IF(COUNTIFS($A$5:$A$404,A345,$B$5:$B$404,B345)&gt;1,"Duplicate option order","Ready"))))</x:f>
      </x:c>
    </x:row>
    <x:row r="346">
      <x:c r="A346" s="65"/>
      <x:c r="B346" s="65"/>
      <x:c r="C346" s="65"/>
      <x:c r="D346" s="65"/>
      <x:c r="E346" s="65"/>
      <x:c r="F346" s="65"/>
      <x:c r="G346" s="68" t="str">
        <x:f>IF(COUNTA(A346:F346)=0,"",IF(OR(A346="",B346="",C346="",D346=""),"Missing required",IF(COUNTIF('Challenges'!$A$5:$A$154,A346)=0,"Unknown challenge ID",IF(COUNTIFS($A$5:$A$404,A346,$B$5:$B$404,B346)&gt;1,"Duplicate option order","Ready"))))</x:f>
      </x:c>
    </x:row>
    <x:row r="347">
      <x:c r="A347" s="65"/>
      <x:c r="B347" s="65"/>
      <x:c r="C347" s="65"/>
      <x:c r="D347" s="65"/>
      <x:c r="E347" s="65"/>
      <x:c r="F347" s="65"/>
      <x:c r="G347" s="68" t="str">
        <x:f>IF(COUNTA(A347:F347)=0,"",IF(OR(A347="",B347="",C347="",D347=""),"Missing required",IF(COUNTIF('Challenges'!$A$5:$A$154,A347)=0,"Unknown challenge ID",IF(COUNTIFS($A$5:$A$404,A347,$B$5:$B$404,B347)&gt;1,"Duplicate option order","Ready"))))</x:f>
      </x:c>
    </x:row>
    <x:row r="348">
      <x:c r="A348" s="65"/>
      <x:c r="B348" s="65"/>
      <x:c r="C348" s="65"/>
      <x:c r="D348" s="65"/>
      <x:c r="E348" s="65"/>
      <x:c r="F348" s="65"/>
      <x:c r="G348" s="68" t="str">
        <x:f>IF(COUNTA(A348:F348)=0,"",IF(OR(A348="",B348="",C348="",D348=""),"Missing required",IF(COUNTIF('Challenges'!$A$5:$A$154,A348)=0,"Unknown challenge ID",IF(COUNTIFS($A$5:$A$404,A348,$B$5:$B$404,B348)&gt;1,"Duplicate option order","Ready"))))</x:f>
      </x:c>
    </x:row>
    <x:row r="349">
      <x:c r="A349" s="65"/>
      <x:c r="B349" s="65"/>
      <x:c r="C349" s="65"/>
      <x:c r="D349" s="65"/>
      <x:c r="E349" s="65"/>
      <x:c r="F349" s="65"/>
      <x:c r="G349" s="68" t="str">
        <x:f>IF(COUNTA(A349:F349)=0,"",IF(OR(A349="",B349="",C349="",D349=""),"Missing required",IF(COUNTIF('Challenges'!$A$5:$A$154,A349)=0,"Unknown challenge ID",IF(COUNTIFS($A$5:$A$404,A349,$B$5:$B$404,B349)&gt;1,"Duplicate option order","Ready"))))</x:f>
      </x:c>
    </x:row>
    <x:row r="350">
      <x:c r="A350" s="65"/>
      <x:c r="B350" s="65"/>
      <x:c r="C350" s="65"/>
      <x:c r="D350" s="65"/>
      <x:c r="E350" s="65"/>
      <x:c r="F350" s="65"/>
      <x:c r="G350" s="68" t="str">
        <x:f>IF(COUNTA(A350:F350)=0,"",IF(OR(A350="",B350="",C350="",D350=""),"Missing required",IF(COUNTIF('Challenges'!$A$5:$A$154,A350)=0,"Unknown challenge ID",IF(COUNTIFS($A$5:$A$404,A350,$B$5:$B$404,B350)&gt;1,"Duplicate option order","Ready"))))</x:f>
      </x:c>
    </x:row>
    <x:row r="351">
      <x:c r="A351" s="65"/>
      <x:c r="B351" s="65"/>
      <x:c r="C351" s="65"/>
      <x:c r="D351" s="65"/>
      <x:c r="E351" s="65"/>
      <x:c r="F351" s="65"/>
      <x:c r="G351" s="68" t="str">
        <x:f>IF(COUNTA(A351:F351)=0,"",IF(OR(A351="",B351="",C351="",D351=""),"Missing required",IF(COUNTIF('Challenges'!$A$5:$A$154,A351)=0,"Unknown challenge ID",IF(COUNTIFS($A$5:$A$404,A351,$B$5:$B$404,B351)&gt;1,"Duplicate option order","Ready"))))</x:f>
      </x:c>
    </x:row>
    <x:row r="352">
      <x:c r="A352" s="65"/>
      <x:c r="B352" s="65"/>
      <x:c r="C352" s="65"/>
      <x:c r="D352" s="65"/>
      <x:c r="E352" s="65"/>
      <x:c r="F352" s="65"/>
      <x:c r="G352" s="68" t="str">
        <x:f>IF(COUNTA(A352:F352)=0,"",IF(OR(A352="",B352="",C352="",D352=""),"Missing required",IF(COUNTIF('Challenges'!$A$5:$A$154,A352)=0,"Unknown challenge ID",IF(COUNTIFS($A$5:$A$404,A352,$B$5:$B$404,B352)&gt;1,"Duplicate option order","Ready"))))</x:f>
      </x:c>
    </x:row>
    <x:row r="353">
      <x:c r="A353" s="65"/>
      <x:c r="B353" s="65"/>
      <x:c r="C353" s="65"/>
      <x:c r="D353" s="65"/>
      <x:c r="E353" s="65"/>
      <x:c r="F353" s="65"/>
      <x:c r="G353" s="68" t="str">
        <x:f>IF(COUNTA(A353:F353)=0,"",IF(OR(A353="",B353="",C353="",D353=""),"Missing required",IF(COUNTIF('Challenges'!$A$5:$A$154,A353)=0,"Unknown challenge ID",IF(COUNTIFS($A$5:$A$404,A353,$B$5:$B$404,B353)&gt;1,"Duplicate option order","Ready"))))</x:f>
      </x:c>
    </x:row>
    <x:row r="354">
      <x:c r="A354" s="65"/>
      <x:c r="B354" s="65"/>
      <x:c r="C354" s="65"/>
      <x:c r="D354" s="65"/>
      <x:c r="E354" s="65"/>
      <x:c r="F354" s="65"/>
      <x:c r="G354" s="68" t="str">
        <x:f>IF(COUNTA(A354:F354)=0,"",IF(OR(A354="",B354="",C354="",D354=""),"Missing required",IF(COUNTIF('Challenges'!$A$5:$A$154,A354)=0,"Unknown challenge ID",IF(COUNTIFS($A$5:$A$404,A354,$B$5:$B$404,B354)&gt;1,"Duplicate option order","Ready"))))</x:f>
      </x:c>
    </x:row>
    <x:row r="355">
      <x:c r="A355" s="65"/>
      <x:c r="B355" s="65"/>
      <x:c r="C355" s="65"/>
      <x:c r="D355" s="65"/>
      <x:c r="E355" s="65"/>
      <x:c r="F355" s="65"/>
      <x:c r="G355" s="68" t="str">
        <x:f>IF(COUNTA(A355:F355)=0,"",IF(OR(A355="",B355="",C355="",D355=""),"Missing required",IF(COUNTIF('Challenges'!$A$5:$A$154,A355)=0,"Unknown challenge ID",IF(COUNTIFS($A$5:$A$404,A355,$B$5:$B$404,B355)&gt;1,"Duplicate option order","Ready"))))</x:f>
      </x:c>
    </x:row>
    <x:row r="356">
      <x:c r="A356" s="65"/>
      <x:c r="B356" s="65"/>
      <x:c r="C356" s="65"/>
      <x:c r="D356" s="65"/>
      <x:c r="E356" s="65"/>
      <x:c r="F356" s="65"/>
      <x:c r="G356" s="68" t="str">
        <x:f>IF(COUNTA(A356:F356)=0,"",IF(OR(A356="",B356="",C356="",D356=""),"Missing required",IF(COUNTIF('Challenges'!$A$5:$A$154,A356)=0,"Unknown challenge ID",IF(COUNTIFS($A$5:$A$404,A356,$B$5:$B$404,B356)&gt;1,"Duplicate option order","Ready"))))</x:f>
      </x:c>
    </x:row>
    <x:row r="357">
      <x:c r="A357" s="65"/>
      <x:c r="B357" s="65"/>
      <x:c r="C357" s="65"/>
      <x:c r="D357" s="65"/>
      <x:c r="E357" s="65"/>
      <x:c r="F357" s="65"/>
      <x:c r="G357" s="68" t="str">
        <x:f>IF(COUNTA(A357:F357)=0,"",IF(OR(A357="",B357="",C357="",D357=""),"Missing required",IF(COUNTIF('Challenges'!$A$5:$A$154,A357)=0,"Unknown challenge ID",IF(COUNTIFS($A$5:$A$404,A357,$B$5:$B$404,B357)&gt;1,"Duplicate option order","Ready"))))</x:f>
      </x:c>
    </x:row>
    <x:row r="358">
      <x:c r="A358" s="65"/>
      <x:c r="B358" s="65"/>
      <x:c r="C358" s="65"/>
      <x:c r="D358" s="65"/>
      <x:c r="E358" s="65"/>
      <x:c r="F358" s="65"/>
      <x:c r="G358" s="68" t="str">
        <x:f>IF(COUNTA(A358:F358)=0,"",IF(OR(A358="",B358="",C358="",D358=""),"Missing required",IF(COUNTIF('Challenges'!$A$5:$A$154,A358)=0,"Unknown challenge ID",IF(COUNTIFS($A$5:$A$404,A358,$B$5:$B$404,B358)&gt;1,"Duplicate option order","Ready"))))</x:f>
      </x:c>
    </x:row>
    <x:row r="359">
      <x:c r="A359" s="65"/>
      <x:c r="B359" s="65"/>
      <x:c r="C359" s="65"/>
      <x:c r="D359" s="65"/>
      <x:c r="E359" s="65"/>
      <x:c r="F359" s="65"/>
      <x:c r="G359" s="68" t="str">
        <x:f>IF(COUNTA(A359:F359)=0,"",IF(OR(A359="",B359="",C359="",D359=""),"Missing required",IF(COUNTIF('Challenges'!$A$5:$A$154,A359)=0,"Unknown challenge ID",IF(COUNTIFS($A$5:$A$404,A359,$B$5:$B$404,B359)&gt;1,"Duplicate option order","Ready"))))</x:f>
      </x:c>
    </x:row>
    <x:row r="360">
      <x:c r="A360" s="65"/>
      <x:c r="B360" s="65"/>
      <x:c r="C360" s="65"/>
      <x:c r="D360" s="65"/>
      <x:c r="E360" s="65"/>
      <x:c r="F360" s="65"/>
      <x:c r="G360" s="68" t="str">
        <x:f>IF(COUNTA(A360:F360)=0,"",IF(OR(A360="",B360="",C360="",D360=""),"Missing required",IF(COUNTIF('Challenges'!$A$5:$A$154,A360)=0,"Unknown challenge ID",IF(COUNTIFS($A$5:$A$404,A360,$B$5:$B$404,B360)&gt;1,"Duplicate option order","Ready"))))</x:f>
      </x:c>
    </x:row>
    <x:row r="361">
      <x:c r="A361" s="65"/>
      <x:c r="B361" s="65"/>
      <x:c r="C361" s="65"/>
      <x:c r="D361" s="65"/>
      <x:c r="E361" s="65"/>
      <x:c r="F361" s="65"/>
      <x:c r="G361" s="68" t="str">
        <x:f>IF(COUNTA(A361:F361)=0,"",IF(OR(A361="",B361="",C361="",D361=""),"Missing required",IF(COUNTIF('Challenges'!$A$5:$A$154,A361)=0,"Unknown challenge ID",IF(COUNTIFS($A$5:$A$404,A361,$B$5:$B$404,B361)&gt;1,"Duplicate option order","Ready"))))</x:f>
      </x:c>
    </x:row>
    <x:row r="362">
      <x:c r="A362" s="65"/>
      <x:c r="B362" s="65"/>
      <x:c r="C362" s="65"/>
      <x:c r="D362" s="65"/>
      <x:c r="E362" s="65"/>
      <x:c r="F362" s="65"/>
      <x:c r="G362" s="68" t="str">
        <x:f>IF(COUNTA(A362:F362)=0,"",IF(OR(A362="",B362="",C362="",D362=""),"Missing required",IF(COUNTIF('Challenges'!$A$5:$A$154,A362)=0,"Unknown challenge ID",IF(COUNTIFS($A$5:$A$404,A362,$B$5:$B$404,B362)&gt;1,"Duplicate option order","Ready"))))</x:f>
      </x:c>
    </x:row>
    <x:row r="363">
      <x:c r="A363" s="65"/>
      <x:c r="B363" s="65"/>
      <x:c r="C363" s="65"/>
      <x:c r="D363" s="65"/>
      <x:c r="E363" s="65"/>
      <x:c r="F363" s="65"/>
      <x:c r="G363" s="68" t="str">
        <x:f>IF(COUNTA(A363:F363)=0,"",IF(OR(A363="",B363="",C363="",D363=""),"Missing required",IF(COUNTIF('Challenges'!$A$5:$A$154,A363)=0,"Unknown challenge ID",IF(COUNTIFS($A$5:$A$404,A363,$B$5:$B$404,B363)&gt;1,"Duplicate option order","Ready"))))</x:f>
      </x:c>
    </x:row>
    <x:row r="364">
      <x:c r="A364" s="65"/>
      <x:c r="B364" s="65"/>
      <x:c r="C364" s="65"/>
      <x:c r="D364" s="65"/>
      <x:c r="E364" s="65"/>
      <x:c r="F364" s="65"/>
      <x:c r="G364" s="68" t="str">
        <x:f>IF(COUNTA(A364:F364)=0,"",IF(OR(A364="",B364="",C364="",D364=""),"Missing required",IF(COUNTIF('Challenges'!$A$5:$A$154,A364)=0,"Unknown challenge ID",IF(COUNTIFS($A$5:$A$404,A364,$B$5:$B$404,B364)&gt;1,"Duplicate option order","Ready"))))</x:f>
      </x:c>
    </x:row>
    <x:row r="365">
      <x:c r="A365" s="65"/>
      <x:c r="B365" s="65"/>
      <x:c r="C365" s="65"/>
      <x:c r="D365" s="65"/>
      <x:c r="E365" s="65"/>
      <x:c r="F365" s="65"/>
      <x:c r="G365" s="68" t="str">
        <x:f>IF(COUNTA(A365:F365)=0,"",IF(OR(A365="",B365="",C365="",D365=""),"Missing required",IF(COUNTIF('Challenges'!$A$5:$A$154,A365)=0,"Unknown challenge ID",IF(COUNTIFS($A$5:$A$404,A365,$B$5:$B$404,B365)&gt;1,"Duplicate option order","Ready"))))</x:f>
      </x:c>
    </x:row>
    <x:row r="366">
      <x:c r="A366" s="65"/>
      <x:c r="B366" s="65"/>
      <x:c r="C366" s="65"/>
      <x:c r="D366" s="65"/>
      <x:c r="E366" s="65"/>
      <x:c r="F366" s="65"/>
      <x:c r="G366" s="68" t="str">
        <x:f>IF(COUNTA(A366:F366)=0,"",IF(OR(A366="",B366="",C366="",D366=""),"Missing required",IF(COUNTIF('Challenges'!$A$5:$A$154,A366)=0,"Unknown challenge ID",IF(COUNTIFS($A$5:$A$404,A366,$B$5:$B$404,B366)&gt;1,"Duplicate option order","Ready"))))</x:f>
      </x:c>
    </x:row>
    <x:row r="367">
      <x:c r="A367" s="65"/>
      <x:c r="B367" s="65"/>
      <x:c r="C367" s="65"/>
      <x:c r="D367" s="65"/>
      <x:c r="E367" s="65"/>
      <x:c r="F367" s="65"/>
      <x:c r="G367" s="68" t="str">
        <x:f>IF(COUNTA(A367:F367)=0,"",IF(OR(A367="",B367="",C367="",D367=""),"Missing required",IF(COUNTIF('Challenges'!$A$5:$A$154,A367)=0,"Unknown challenge ID",IF(COUNTIFS($A$5:$A$404,A367,$B$5:$B$404,B367)&gt;1,"Duplicate option order","Ready"))))</x:f>
      </x:c>
    </x:row>
    <x:row r="368">
      <x:c r="A368" s="65"/>
      <x:c r="B368" s="65"/>
      <x:c r="C368" s="65"/>
      <x:c r="D368" s="65"/>
      <x:c r="E368" s="65"/>
      <x:c r="F368" s="65"/>
      <x:c r="G368" s="68" t="str">
        <x:f>IF(COUNTA(A368:F368)=0,"",IF(OR(A368="",B368="",C368="",D368=""),"Missing required",IF(COUNTIF('Challenges'!$A$5:$A$154,A368)=0,"Unknown challenge ID",IF(COUNTIFS($A$5:$A$404,A368,$B$5:$B$404,B368)&gt;1,"Duplicate option order","Ready"))))</x:f>
      </x:c>
    </x:row>
    <x:row r="369">
      <x:c r="A369" s="65"/>
      <x:c r="B369" s="65"/>
      <x:c r="C369" s="65"/>
      <x:c r="D369" s="65"/>
      <x:c r="E369" s="65"/>
      <x:c r="F369" s="65"/>
      <x:c r="G369" s="68" t="str">
        <x:f>IF(COUNTA(A369:F369)=0,"",IF(OR(A369="",B369="",C369="",D369=""),"Missing required",IF(COUNTIF('Challenges'!$A$5:$A$154,A369)=0,"Unknown challenge ID",IF(COUNTIFS($A$5:$A$404,A369,$B$5:$B$404,B369)&gt;1,"Duplicate option order","Ready"))))</x:f>
      </x:c>
    </x:row>
    <x:row r="370">
      <x:c r="A370" s="65"/>
      <x:c r="B370" s="65"/>
      <x:c r="C370" s="65"/>
      <x:c r="D370" s="65"/>
      <x:c r="E370" s="65"/>
      <x:c r="F370" s="65"/>
      <x:c r="G370" s="68" t="str">
        <x:f>IF(COUNTA(A370:F370)=0,"",IF(OR(A370="",B370="",C370="",D370=""),"Missing required",IF(COUNTIF('Challenges'!$A$5:$A$154,A370)=0,"Unknown challenge ID",IF(COUNTIFS($A$5:$A$404,A370,$B$5:$B$404,B370)&gt;1,"Duplicate option order","Ready"))))</x:f>
      </x:c>
    </x:row>
    <x:row r="371">
      <x:c r="A371" s="65"/>
      <x:c r="B371" s="65"/>
      <x:c r="C371" s="65"/>
      <x:c r="D371" s="65"/>
      <x:c r="E371" s="65"/>
      <x:c r="F371" s="65"/>
      <x:c r="G371" s="68" t="str">
        <x:f>IF(COUNTA(A371:F371)=0,"",IF(OR(A371="",B371="",C371="",D371=""),"Missing required",IF(COUNTIF('Challenges'!$A$5:$A$154,A371)=0,"Unknown challenge ID",IF(COUNTIFS($A$5:$A$404,A371,$B$5:$B$404,B371)&gt;1,"Duplicate option order","Ready"))))</x:f>
      </x:c>
    </x:row>
    <x:row r="372">
      <x:c r="A372" s="65"/>
      <x:c r="B372" s="65"/>
      <x:c r="C372" s="65"/>
      <x:c r="D372" s="65"/>
      <x:c r="E372" s="65"/>
      <x:c r="F372" s="65"/>
      <x:c r="G372" s="68" t="str">
        <x:f>IF(COUNTA(A372:F372)=0,"",IF(OR(A372="",B372="",C372="",D372=""),"Missing required",IF(COUNTIF('Challenges'!$A$5:$A$154,A372)=0,"Unknown challenge ID",IF(COUNTIFS($A$5:$A$404,A372,$B$5:$B$404,B372)&gt;1,"Duplicate option order","Ready"))))</x:f>
      </x:c>
    </x:row>
    <x:row r="373">
      <x:c r="A373" s="65"/>
      <x:c r="B373" s="65"/>
      <x:c r="C373" s="65"/>
      <x:c r="D373" s="65"/>
      <x:c r="E373" s="65"/>
      <x:c r="F373" s="65"/>
      <x:c r="G373" s="68" t="str">
        <x:f>IF(COUNTA(A373:F373)=0,"",IF(OR(A373="",B373="",C373="",D373=""),"Missing required",IF(COUNTIF('Challenges'!$A$5:$A$154,A373)=0,"Unknown challenge ID",IF(COUNTIFS($A$5:$A$404,A373,$B$5:$B$404,B373)&gt;1,"Duplicate option order","Ready"))))</x:f>
      </x:c>
    </x:row>
    <x:row r="374">
      <x:c r="A374" s="65"/>
      <x:c r="B374" s="65"/>
      <x:c r="C374" s="65"/>
      <x:c r="D374" s="65"/>
      <x:c r="E374" s="65"/>
      <x:c r="F374" s="65"/>
      <x:c r="G374" s="68" t="str">
        <x:f>IF(COUNTA(A374:F374)=0,"",IF(OR(A374="",B374="",C374="",D374=""),"Missing required",IF(COUNTIF('Challenges'!$A$5:$A$154,A374)=0,"Unknown challenge ID",IF(COUNTIFS($A$5:$A$404,A374,$B$5:$B$404,B374)&gt;1,"Duplicate option order","Ready"))))</x:f>
      </x:c>
    </x:row>
    <x:row r="375">
      <x:c r="A375" s="65"/>
      <x:c r="B375" s="65"/>
      <x:c r="C375" s="65"/>
      <x:c r="D375" s="65"/>
      <x:c r="E375" s="65"/>
      <x:c r="F375" s="65"/>
      <x:c r="G375" s="68" t="str">
        <x:f>IF(COUNTA(A375:F375)=0,"",IF(OR(A375="",B375="",C375="",D375=""),"Missing required",IF(COUNTIF('Challenges'!$A$5:$A$154,A375)=0,"Unknown challenge ID",IF(COUNTIFS($A$5:$A$404,A375,$B$5:$B$404,B375)&gt;1,"Duplicate option order","Ready"))))</x:f>
      </x:c>
    </x:row>
    <x:row r="376">
      <x:c r="A376" s="65"/>
      <x:c r="B376" s="65"/>
      <x:c r="C376" s="65"/>
      <x:c r="D376" s="65"/>
      <x:c r="E376" s="65"/>
      <x:c r="F376" s="65"/>
      <x:c r="G376" s="68" t="str">
        <x:f>IF(COUNTA(A376:F376)=0,"",IF(OR(A376="",B376="",C376="",D376=""),"Missing required",IF(COUNTIF('Challenges'!$A$5:$A$154,A376)=0,"Unknown challenge ID",IF(COUNTIFS($A$5:$A$404,A376,$B$5:$B$404,B376)&gt;1,"Duplicate option order","Ready"))))</x:f>
      </x:c>
    </x:row>
    <x:row r="377">
      <x:c r="A377" s="65"/>
      <x:c r="B377" s="65"/>
      <x:c r="C377" s="65"/>
      <x:c r="D377" s="65"/>
      <x:c r="E377" s="65"/>
      <x:c r="F377" s="65"/>
      <x:c r="G377" s="68" t="str">
        <x:f>IF(COUNTA(A377:F377)=0,"",IF(OR(A377="",B377="",C377="",D377=""),"Missing required",IF(COUNTIF('Challenges'!$A$5:$A$154,A377)=0,"Unknown challenge ID",IF(COUNTIFS($A$5:$A$404,A377,$B$5:$B$404,B377)&gt;1,"Duplicate option order","Ready"))))</x:f>
      </x:c>
    </x:row>
    <x:row r="378">
      <x:c r="A378" s="65"/>
      <x:c r="B378" s="65"/>
      <x:c r="C378" s="65"/>
      <x:c r="D378" s="65"/>
      <x:c r="E378" s="65"/>
      <x:c r="F378" s="65"/>
      <x:c r="G378" s="68" t="str">
        <x:f>IF(COUNTA(A378:F378)=0,"",IF(OR(A378="",B378="",C378="",D378=""),"Missing required",IF(COUNTIF('Challenges'!$A$5:$A$154,A378)=0,"Unknown challenge ID",IF(COUNTIFS($A$5:$A$404,A378,$B$5:$B$404,B378)&gt;1,"Duplicate option order","Ready"))))</x:f>
      </x:c>
    </x:row>
    <x:row r="379">
      <x:c r="A379" s="65"/>
      <x:c r="B379" s="65"/>
      <x:c r="C379" s="65"/>
      <x:c r="D379" s="65"/>
      <x:c r="E379" s="65"/>
      <x:c r="F379" s="65"/>
      <x:c r="G379" s="68" t="str">
        <x:f>IF(COUNTA(A379:F379)=0,"",IF(OR(A379="",B379="",C379="",D379=""),"Missing required",IF(COUNTIF('Challenges'!$A$5:$A$154,A379)=0,"Unknown challenge ID",IF(COUNTIFS($A$5:$A$404,A379,$B$5:$B$404,B379)&gt;1,"Duplicate option order","Ready"))))</x:f>
      </x:c>
    </x:row>
    <x:row r="380">
      <x:c r="A380" s="65"/>
      <x:c r="B380" s="65"/>
      <x:c r="C380" s="65"/>
      <x:c r="D380" s="65"/>
      <x:c r="E380" s="65"/>
      <x:c r="F380" s="65"/>
      <x:c r="G380" s="68" t="str">
        <x:f>IF(COUNTA(A380:F380)=0,"",IF(OR(A380="",B380="",C380="",D380=""),"Missing required",IF(COUNTIF('Challenges'!$A$5:$A$154,A380)=0,"Unknown challenge ID",IF(COUNTIFS($A$5:$A$404,A380,$B$5:$B$404,B380)&gt;1,"Duplicate option order","Ready"))))</x:f>
      </x:c>
    </x:row>
    <x:row r="381">
      <x:c r="A381" s="65"/>
      <x:c r="B381" s="65"/>
      <x:c r="C381" s="65"/>
      <x:c r="D381" s="65"/>
      <x:c r="E381" s="65"/>
      <x:c r="F381" s="65"/>
      <x:c r="G381" s="68" t="str">
        <x:f>IF(COUNTA(A381:F381)=0,"",IF(OR(A381="",B381="",C381="",D381=""),"Missing required",IF(COUNTIF('Challenges'!$A$5:$A$154,A381)=0,"Unknown challenge ID",IF(COUNTIFS($A$5:$A$404,A381,$B$5:$B$404,B381)&gt;1,"Duplicate option order","Ready"))))</x:f>
      </x:c>
    </x:row>
    <x:row r="382">
      <x:c r="A382" s="65"/>
      <x:c r="B382" s="65"/>
      <x:c r="C382" s="65"/>
      <x:c r="D382" s="65"/>
      <x:c r="E382" s="65"/>
      <x:c r="F382" s="65"/>
      <x:c r="G382" s="68" t="str">
        <x:f>IF(COUNTA(A382:F382)=0,"",IF(OR(A382="",B382="",C382="",D382=""),"Missing required",IF(COUNTIF('Challenges'!$A$5:$A$154,A382)=0,"Unknown challenge ID",IF(COUNTIFS($A$5:$A$404,A382,$B$5:$B$404,B382)&gt;1,"Duplicate option order","Ready"))))</x:f>
      </x:c>
    </x:row>
    <x:row r="383">
      <x:c r="A383" s="65"/>
      <x:c r="B383" s="65"/>
      <x:c r="C383" s="65"/>
      <x:c r="D383" s="65"/>
      <x:c r="E383" s="65"/>
      <x:c r="F383" s="65"/>
      <x:c r="G383" s="68" t="str">
        <x:f>IF(COUNTA(A383:F383)=0,"",IF(OR(A383="",B383="",C383="",D383=""),"Missing required",IF(COUNTIF('Challenges'!$A$5:$A$154,A383)=0,"Unknown challenge ID",IF(COUNTIFS($A$5:$A$404,A383,$B$5:$B$404,B383)&gt;1,"Duplicate option order","Ready"))))</x:f>
      </x:c>
    </x:row>
    <x:row r="384">
      <x:c r="A384" s="65"/>
      <x:c r="B384" s="65"/>
      <x:c r="C384" s="65"/>
      <x:c r="D384" s="65"/>
      <x:c r="E384" s="65"/>
      <x:c r="F384" s="65"/>
      <x:c r="G384" s="68" t="str">
        <x:f>IF(COUNTA(A384:F384)=0,"",IF(OR(A384="",B384="",C384="",D384=""),"Missing required",IF(COUNTIF('Challenges'!$A$5:$A$154,A384)=0,"Unknown challenge ID",IF(COUNTIFS($A$5:$A$404,A384,$B$5:$B$404,B384)&gt;1,"Duplicate option order","Ready"))))</x:f>
      </x:c>
    </x:row>
    <x:row r="385">
      <x:c r="A385" s="65"/>
      <x:c r="B385" s="65"/>
      <x:c r="C385" s="65"/>
      <x:c r="D385" s="65"/>
      <x:c r="E385" s="65"/>
      <x:c r="F385" s="65"/>
      <x:c r="G385" s="68" t="str">
        <x:f>IF(COUNTA(A385:F385)=0,"",IF(OR(A385="",B385="",C385="",D385=""),"Missing required",IF(COUNTIF('Challenges'!$A$5:$A$154,A385)=0,"Unknown challenge ID",IF(COUNTIFS($A$5:$A$404,A385,$B$5:$B$404,B385)&gt;1,"Duplicate option order","Ready"))))</x:f>
      </x:c>
    </x:row>
    <x:row r="386">
      <x:c r="A386" s="65"/>
      <x:c r="B386" s="65"/>
      <x:c r="C386" s="65"/>
      <x:c r="D386" s="65"/>
      <x:c r="E386" s="65"/>
      <x:c r="F386" s="65"/>
      <x:c r="G386" s="68" t="str">
        <x:f>IF(COUNTA(A386:F386)=0,"",IF(OR(A386="",B386="",C386="",D386=""),"Missing required",IF(COUNTIF('Challenges'!$A$5:$A$154,A386)=0,"Unknown challenge ID",IF(COUNTIFS($A$5:$A$404,A386,$B$5:$B$404,B386)&gt;1,"Duplicate option order","Ready"))))</x:f>
      </x:c>
    </x:row>
    <x:row r="387">
      <x:c r="A387" s="65"/>
      <x:c r="B387" s="65"/>
      <x:c r="C387" s="65"/>
      <x:c r="D387" s="65"/>
      <x:c r="E387" s="65"/>
      <x:c r="F387" s="65"/>
      <x:c r="G387" s="68" t="str">
        <x:f>IF(COUNTA(A387:F387)=0,"",IF(OR(A387="",B387="",C387="",D387=""),"Missing required",IF(COUNTIF('Challenges'!$A$5:$A$154,A387)=0,"Unknown challenge ID",IF(COUNTIFS($A$5:$A$404,A387,$B$5:$B$404,B387)&gt;1,"Duplicate option order","Ready"))))</x:f>
      </x:c>
    </x:row>
    <x:row r="388">
      <x:c r="A388" s="65"/>
      <x:c r="B388" s="65"/>
      <x:c r="C388" s="65"/>
      <x:c r="D388" s="65"/>
      <x:c r="E388" s="65"/>
      <x:c r="F388" s="65"/>
      <x:c r="G388" s="68" t="str">
        <x:f>IF(COUNTA(A388:F388)=0,"",IF(OR(A388="",B388="",C388="",D388=""),"Missing required",IF(COUNTIF('Challenges'!$A$5:$A$154,A388)=0,"Unknown challenge ID",IF(COUNTIFS($A$5:$A$404,A388,$B$5:$B$404,B388)&gt;1,"Duplicate option order","Ready"))))</x:f>
      </x:c>
    </x:row>
    <x:row r="389">
      <x:c r="A389" s="65"/>
      <x:c r="B389" s="65"/>
      <x:c r="C389" s="65"/>
      <x:c r="D389" s="65"/>
      <x:c r="E389" s="65"/>
      <x:c r="F389" s="65"/>
      <x:c r="G389" s="68" t="str">
        <x:f>IF(COUNTA(A389:F389)=0,"",IF(OR(A389="",B389="",C389="",D389=""),"Missing required",IF(COUNTIF('Challenges'!$A$5:$A$154,A389)=0,"Unknown challenge ID",IF(COUNTIFS($A$5:$A$404,A389,$B$5:$B$404,B389)&gt;1,"Duplicate option order","Ready"))))</x:f>
      </x:c>
    </x:row>
    <x:row r="390">
      <x:c r="A390" s="65"/>
      <x:c r="B390" s="65"/>
      <x:c r="C390" s="65"/>
      <x:c r="D390" s="65"/>
      <x:c r="E390" s="65"/>
      <x:c r="F390" s="65"/>
      <x:c r="G390" s="68" t="str">
        <x:f>IF(COUNTA(A390:F390)=0,"",IF(OR(A390="",B390="",C390="",D390=""),"Missing required",IF(COUNTIF('Challenges'!$A$5:$A$154,A390)=0,"Unknown challenge ID",IF(COUNTIFS($A$5:$A$404,A390,$B$5:$B$404,B390)&gt;1,"Duplicate option order","Ready"))))</x:f>
      </x:c>
    </x:row>
    <x:row r="391">
      <x:c r="A391" s="65"/>
      <x:c r="B391" s="65"/>
      <x:c r="C391" s="65"/>
      <x:c r="D391" s="65"/>
      <x:c r="E391" s="65"/>
      <x:c r="F391" s="65"/>
      <x:c r="G391" s="68" t="str">
        <x:f>IF(COUNTA(A391:F391)=0,"",IF(OR(A391="",B391="",C391="",D391=""),"Missing required",IF(COUNTIF('Challenges'!$A$5:$A$154,A391)=0,"Unknown challenge ID",IF(COUNTIFS($A$5:$A$404,A391,$B$5:$B$404,B391)&gt;1,"Duplicate option order","Ready"))))</x:f>
      </x:c>
    </x:row>
    <x:row r="392">
      <x:c r="A392" s="65"/>
      <x:c r="B392" s="65"/>
      <x:c r="C392" s="65"/>
      <x:c r="D392" s="65"/>
      <x:c r="E392" s="65"/>
      <x:c r="F392" s="65"/>
      <x:c r="G392" s="68" t="str">
        <x:f>IF(COUNTA(A392:F392)=0,"",IF(OR(A392="",B392="",C392="",D392=""),"Missing required",IF(COUNTIF('Challenges'!$A$5:$A$154,A392)=0,"Unknown challenge ID",IF(COUNTIFS($A$5:$A$404,A392,$B$5:$B$404,B392)&gt;1,"Duplicate option order","Ready"))))</x:f>
      </x:c>
    </x:row>
    <x:row r="393">
      <x:c r="A393" s="65"/>
      <x:c r="B393" s="65"/>
      <x:c r="C393" s="65"/>
      <x:c r="D393" s="65"/>
      <x:c r="E393" s="65"/>
      <x:c r="F393" s="65"/>
      <x:c r="G393" s="68" t="str">
        <x:f>IF(COUNTA(A393:F393)=0,"",IF(OR(A393="",B393="",C393="",D393=""),"Missing required",IF(COUNTIF('Challenges'!$A$5:$A$154,A393)=0,"Unknown challenge ID",IF(COUNTIFS($A$5:$A$404,A393,$B$5:$B$404,B393)&gt;1,"Duplicate option order","Ready"))))</x:f>
      </x:c>
    </x:row>
    <x:row r="394">
      <x:c r="A394" s="65"/>
      <x:c r="B394" s="65"/>
      <x:c r="C394" s="65"/>
      <x:c r="D394" s="65"/>
      <x:c r="E394" s="65"/>
      <x:c r="F394" s="65"/>
      <x:c r="G394" s="68" t="str">
        <x:f>IF(COUNTA(A394:F394)=0,"",IF(OR(A394="",B394="",C394="",D394=""),"Missing required",IF(COUNTIF('Challenges'!$A$5:$A$154,A394)=0,"Unknown challenge ID",IF(COUNTIFS($A$5:$A$404,A394,$B$5:$B$404,B394)&gt;1,"Duplicate option order","Ready"))))</x:f>
      </x:c>
    </x:row>
    <x:row r="395">
      <x:c r="A395" s="65"/>
      <x:c r="B395" s="65"/>
      <x:c r="C395" s="65"/>
      <x:c r="D395" s="65"/>
      <x:c r="E395" s="65"/>
      <x:c r="F395" s="65"/>
      <x:c r="G395" s="68" t="str">
        <x:f>IF(COUNTA(A395:F395)=0,"",IF(OR(A395="",B395="",C395="",D395=""),"Missing required",IF(COUNTIF('Challenges'!$A$5:$A$154,A395)=0,"Unknown challenge ID",IF(COUNTIFS($A$5:$A$404,A395,$B$5:$B$404,B395)&gt;1,"Duplicate option order","Ready"))))</x:f>
      </x:c>
    </x:row>
    <x:row r="396">
      <x:c r="A396" s="65"/>
      <x:c r="B396" s="65"/>
      <x:c r="C396" s="65"/>
      <x:c r="D396" s="65"/>
      <x:c r="E396" s="65"/>
      <x:c r="F396" s="65"/>
      <x:c r="G396" s="68" t="str">
        <x:f>IF(COUNTA(A396:F396)=0,"",IF(OR(A396="",B396="",C396="",D396=""),"Missing required",IF(COUNTIF('Challenges'!$A$5:$A$154,A396)=0,"Unknown challenge ID",IF(COUNTIFS($A$5:$A$404,A396,$B$5:$B$404,B396)&gt;1,"Duplicate option order","Ready"))))</x:f>
      </x:c>
    </x:row>
    <x:row r="397">
      <x:c r="A397" s="65"/>
      <x:c r="B397" s="65"/>
      <x:c r="C397" s="65"/>
      <x:c r="D397" s="65"/>
      <x:c r="E397" s="65"/>
      <x:c r="F397" s="65"/>
      <x:c r="G397" s="68" t="str">
        <x:f>IF(COUNTA(A397:F397)=0,"",IF(OR(A397="",B397="",C397="",D397=""),"Missing required",IF(COUNTIF('Challenges'!$A$5:$A$154,A397)=0,"Unknown challenge ID",IF(COUNTIFS($A$5:$A$404,A397,$B$5:$B$404,B397)&gt;1,"Duplicate option order","Ready"))))</x:f>
      </x:c>
    </x:row>
    <x:row r="398">
      <x:c r="A398" s="65"/>
      <x:c r="B398" s="65"/>
      <x:c r="C398" s="65"/>
      <x:c r="D398" s="65"/>
      <x:c r="E398" s="65"/>
      <x:c r="F398" s="65"/>
      <x:c r="G398" s="68" t="str">
        <x:f>IF(COUNTA(A398:F398)=0,"",IF(OR(A398="",B398="",C398="",D398=""),"Missing required",IF(COUNTIF('Challenges'!$A$5:$A$154,A398)=0,"Unknown challenge ID",IF(COUNTIFS($A$5:$A$404,A398,$B$5:$B$404,B398)&gt;1,"Duplicate option order","Ready"))))</x:f>
      </x:c>
    </x:row>
    <x:row r="399">
      <x:c r="A399" s="65"/>
      <x:c r="B399" s="65"/>
      <x:c r="C399" s="65"/>
      <x:c r="D399" s="65"/>
      <x:c r="E399" s="65"/>
      <x:c r="F399" s="65"/>
      <x:c r="G399" s="68" t="str">
        <x:f>IF(COUNTA(A399:F399)=0,"",IF(OR(A399="",B399="",C399="",D399=""),"Missing required",IF(COUNTIF('Challenges'!$A$5:$A$154,A399)=0,"Unknown challenge ID",IF(COUNTIFS($A$5:$A$404,A399,$B$5:$B$404,B399)&gt;1,"Duplicate option order","Ready"))))</x:f>
      </x:c>
    </x:row>
    <x:row r="400">
      <x:c r="A400" s="65"/>
      <x:c r="B400" s="65"/>
      <x:c r="C400" s="65"/>
      <x:c r="D400" s="65"/>
      <x:c r="E400" s="65"/>
      <x:c r="F400" s="65"/>
      <x:c r="G400" s="68" t="str">
        <x:f>IF(COUNTA(A400:F400)=0,"",IF(OR(A400="",B400="",C400="",D400=""),"Missing required",IF(COUNTIF('Challenges'!$A$5:$A$154,A400)=0,"Unknown challenge ID",IF(COUNTIFS($A$5:$A$404,A400,$B$5:$B$404,B400)&gt;1,"Duplicate option order","Ready"))))</x:f>
      </x:c>
    </x:row>
    <x:row r="401">
      <x:c r="A401" s="65"/>
      <x:c r="B401" s="65"/>
      <x:c r="C401" s="65"/>
      <x:c r="D401" s="65"/>
      <x:c r="E401" s="65"/>
      <x:c r="F401" s="65"/>
      <x:c r="G401" s="68" t="str">
        <x:f>IF(COUNTA(A401:F401)=0,"",IF(OR(A401="",B401="",C401="",D401=""),"Missing required",IF(COUNTIF('Challenges'!$A$5:$A$154,A401)=0,"Unknown challenge ID",IF(COUNTIFS($A$5:$A$404,A401,$B$5:$B$404,B401)&gt;1,"Duplicate option order","Ready"))))</x:f>
      </x:c>
    </x:row>
    <x:row r="402">
      <x:c r="A402" s="65"/>
      <x:c r="B402" s="65"/>
      <x:c r="C402" s="65"/>
      <x:c r="D402" s="65"/>
      <x:c r="E402" s="65"/>
      <x:c r="F402" s="65"/>
      <x:c r="G402" s="68" t="str">
        <x:f>IF(COUNTA(A402:F402)=0,"",IF(OR(A402="",B402="",C402="",D402=""),"Missing required",IF(COUNTIF('Challenges'!$A$5:$A$154,A402)=0,"Unknown challenge ID",IF(COUNTIFS($A$5:$A$404,A402,$B$5:$B$404,B402)&gt;1,"Duplicate option order","Ready"))))</x:f>
      </x:c>
    </x:row>
    <x:row r="403">
      <x:c r="A403" s="65"/>
      <x:c r="B403" s="65"/>
      <x:c r="C403" s="65"/>
      <x:c r="D403" s="65"/>
      <x:c r="E403" s="65"/>
      <x:c r="F403" s="65"/>
      <x:c r="G403" s="68" t="str">
        <x:f>IF(COUNTA(A403:F403)=0,"",IF(OR(A403="",B403="",C403="",D403=""),"Missing required",IF(COUNTIF('Challenges'!$A$5:$A$154,A403)=0,"Unknown challenge ID",IF(COUNTIFS($A$5:$A$404,A403,$B$5:$B$404,B403)&gt;1,"Duplicate option order","Ready"))))</x:f>
      </x:c>
    </x:row>
    <x:row r="404">
      <x:c r="A404" s="65"/>
      <x:c r="B404" s="65"/>
      <x:c r="C404" s="65"/>
      <x:c r="D404" s="65"/>
      <x:c r="E404" s="65"/>
      <x:c r="F404" s="65"/>
      <x:c r="G404" s="68" t="str">
        <x:f>IF(COUNTA(A404:F404)=0,"",IF(OR(A404="",B404="",C404="",D404=""),"Missing required",IF(COUNTIF('Challenges'!$A$5:$A$154,A404)=0,"Unknown challenge ID",IF(COUNTIFS($A$5:$A$404,A404,$B$5:$B$404,B404)&gt;1,"Duplicate option order","Ready"))))</x:f>
      </x:c>
    </x:row>
  </x:sheetData>
  <x:mergeCells>
    <x:mergeCell ref="A1:G1"/>
    <x:mergeCell ref="A2:G2"/>
  </x:mergeCells>
  <x:conditionalFormatting sqref="G5:G404">
    <x:cfRule type="expression" dxfId="9" priority="1">
      <x:formula>$G5="Ready"</x:formula>
    </x:cfRule>
    <x:cfRule type="expression" dxfId="10" priority="2">
      <x:formula>AND($G5&lt;&gt;"",$G5&lt;&gt;"Ready")</x:formula>
    </x:cfRule>
  </x:conditionalFormatting>
  <x:dataValidations count="2">
    <x:dataValidation type="whole" operator="between" sqref="B5:B404">
      <x:formula1>1</x:formula1>
      <x:formula2>100</x:formula2>
    </x:dataValidation>
    <x:dataValidation type="list" sqref="D5:D4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612c83a5646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6" hidden="0" customWidth="1"/>
    <x:col min="3" max="3" width="19" hidden="0" customWidth="1"/>
    <x:col min="4" max="4" width="19" hidden="0" customWidth="1"/>
    <x:col min="5" max="5" width="62" hidden="0" customWidth="1"/>
  </x:cols>
  <x:sheetData>
    <x:row r="1" ht="34" customHeight="1">
      <x:c r="A1" s="46" t="str">
        <x:v>Challenge Guide</x:v>
      </x:c>
      <x:c r="B1" s="46" t="str">
        <x:v>Challenge Guide</x:v>
      </x:c>
      <x:c r="C1" s="46" t="str">
        <x:v>Challenge Guide</x:v>
      </x:c>
      <x:c r="D1" s="46" t="str">
        <x:v>Challenge Guide</x:v>
      </x:c>
      <x:c r="E1" s="46" t="str">
        <x:v>Challenge Guide</x:v>
      </x:c>
    </x:row>
    <x:row r="2" ht="34" customHeight="1">
      <x:c r="A2" s="49" t="str">
        <x:v>These are the nine challenge types currently accepted by Language Quest Course Studio and the server validator.</x:v>
      </x:c>
      <x:c r="B2" s="49" t="str">
        <x:v>These are the nine challenge types currently accepted by Language Quest Course Studio and the server validator.</x:v>
      </x:c>
      <x:c r="C2" s="49" t="str">
        <x:v>These are the nine challenge types currently accepted by Language Quest Course Studio and the server validator.</x:v>
      </x:c>
      <x:c r="D2" s="49" t="str">
        <x:v>These are the nine challenge types currently accepted by Language Quest Course Studio and the server validator.</x:v>
      </x:c>
      <x:c r="E2" s="49" t="str">
        <x:v>These are the nine challenge types currently accepted by Language Quest Course Studio and the server validator.</x:v>
      </x:c>
    </x:row>
    <x:row r="4" ht="30" customHeight="1">
      <x:c r="A4" s="14" t="str">
        <x:v>Challenge Type</x:v>
      </x:c>
      <x:c r="B4" s="28" t="str">
        <x:v>Best used for</x:v>
      </x:c>
      <x:c r="C4" s="28" t="str">
        <x:v>Option count</x:v>
      </x:c>
      <x:c r="D4" s="28" t="str">
        <x:v>Correct rule</x:v>
      </x:c>
      <x:c r="E4" s="15" t="str">
        <x:v>Authoring note</x:v>
      </x:c>
    </x:row>
    <x:row r="5" ht="46" customHeight="1">
      <x:c r="A5" s="71" t="str">
        <x:v>SELECT</x:v>
      </x:c>
      <x:c r="B5" s="31" t="str">
        <x:v>Multiple-choice knowledge checks</x:v>
      </x:c>
      <x:c r="C5" s="31" t="str">
        <x:v>2-6</x:v>
      </x:c>
      <x:c r="D5" s="31" t="str">
        <x:v>Exactly 1 TRUE</x:v>
      </x:c>
      <x:c r="E5" s="31" t="str">
        <x:v>Use clear distractors that are plausible but unambiguously wrong.</x:v>
      </x:c>
    </x:row>
    <x:row r="6" ht="46" customHeight="1">
      <x:c r="A6" s="71" t="str">
        <x:v>ASSIST</x:v>
      </x:c>
      <x:c r="B6" s="31" t="str">
        <x:v>Translation or phrase support</x:v>
      </x:c>
      <x:c r="C6" s="31" t="str">
        <x:v>2-6</x:v>
      </x:c>
      <x:c r="D6" s="31" t="str">
        <x:v>Exactly 1 TRUE</x:v>
      </x:c>
      <x:c r="E6" s="31" t="str">
        <x:v>Question should identify the direction or phrase to translate.</x:v>
      </x:c>
    </x:row>
    <x:row r="7" ht="46" customHeight="1">
      <x:c r="A7" s="71" t="str">
        <x:v>CLOZE</x:v>
      </x:c>
      <x:c r="B7" s="31" t="str">
        <x:v>Fill a sentence gap</x:v>
      </x:c>
      <x:c r="C7" s="31" t="str">
        <x:v>2-6</x:v>
      </x:c>
      <x:c r="D7" s="31" t="str">
        <x:v>Exactly 1 TRUE</x:v>
      </x:c>
      <x:c r="E7" s="31" t="str">
        <x:v>Include a visible blank such as ___ in the question.</x:v>
      </x:c>
    </x:row>
    <x:row r="8" ht="46" customHeight="1">
      <x:c r="A8" s="71" t="str">
        <x:v>ODD_ONE_OUT</x:v>
      </x:c>
      <x:c r="B8" s="31" t="str">
        <x:v>Classification and vocabulary groups</x:v>
      </x:c>
      <x:c r="C8" s="31" t="str">
        <x:v>2-6</x:v>
      </x:c>
      <x:c r="D8" s="31" t="str">
        <x:v>Exactly 1 TRUE</x:v>
      </x:c>
      <x:c r="E8" s="31" t="str">
        <x:v>TRUE marks the item that does not belong.</x:v>
      </x:c>
    </x:row>
    <x:row r="9" ht="46" customHeight="1">
      <x:c r="A9" s="71" t="str">
        <x:v>REORDER</x:v>
      </x:c>
      <x:c r="B9" s="31" t="str">
        <x:v>Building a sentence from tiles</x:v>
      </x:c>
      <x:c r="C9" s="31" t="str">
        <x:v>2 or more</x:v>
      </x:c>
      <x:c r="D9" s="31" t="str">
        <x:v>Every row TRUE</x:v>
      </x:c>
      <x:c r="E9" s="31" t="str">
        <x:v>Enter tiles in the correct target order; option order defines the answer.</x:v>
      </x:c>
    </x:row>
    <x:row r="10" ht="46" customHeight="1">
      <x:c r="A10" s="71" t="str">
        <x:v>MATCHING</x:v>
      </x:c>
      <x:c r="B10" s="31" t="str">
        <x:v>Vocabulary or phrase pairs</x:v>
      </x:c>
      <x:c r="C10" s="31" t="str">
        <x:v>2-12, even</x:v>
      </x:c>
      <x:c r="D10" s="31" t="str">
        <x:v>Every row TRUE</x:v>
      </x:c>
      <x:c r="E10" s="31" t="str">
        <x:v>Enter each pair consecutively: prompt, match, prompt, match.</x:v>
      </x:c>
    </x:row>
    <x:row r="11" ht="46" customHeight="1">
      <x:c r="A11" s="71" t="str">
        <x:v>MINIMAL_PAIR_LISTENING</x:v>
      </x:c>
      <x:c r="B11" s="31" t="str">
        <x:v>Distinguishing similar sounds</x:v>
      </x:c>
      <x:c r="C11" s="31" t="str">
        <x:v>2-6</x:v>
      </x:c>
      <x:c r="D11" s="31" t="str">
        <x:v>Exactly 1 TRUE</x:v>
      </x:c>
      <x:c r="E11" s="31" t="str">
        <x:v>Use Audio Text to control what is spoken when helpful.</x:v>
      </x:c>
    </x:row>
    <x:row r="12" ht="46" customHeight="1">
      <x:c r="A12" s="71" t="str">
        <x:v>DICTATION</x:v>
      </x:c>
      <x:c r="B12" s="31" t="str">
        <x:v>Typing one heard answer</x:v>
      </x:c>
      <x:c r="C12" s="31" t="str">
        <x:v>Exactly 1</x:v>
      </x:c>
      <x:c r="D12" s="31" t="str">
        <x:v>The row is TRUE</x:v>
      </x:c>
      <x:c r="E12" s="31" t="str">
        <x:v>Option Text is the canonical typed answer; Audio Text is what learners hear.</x:v>
      </x:c>
    </x:row>
    <x:row r="13" ht="46" customHeight="1">
      <x:c r="A13" s="71" t="str">
        <x:v>GRAMMAR_TRANSFORM</x:v>
      </x:c>
      <x:c r="B13" s="31" t="str">
        <x:v>Changing tense, form, or structure</x:v>
      </x:c>
      <x:c r="C13" s="31" t="str">
        <x:v>2-6</x:v>
      </x:c>
      <x:c r="D13" s="31" t="str">
        <x:v>Exactly 1 TRUE</x:v>
      </x:c>
      <x:c r="E13" s="31" t="str">
        <x:v>State the requested transformation explicitly in the prompt.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52" hidden="0" customWidth="1"/>
    <x:col min="4" max="4" width="13" hidden="0" customWidth="1"/>
    <x:col min="5" max="5" width="32" hidden="0" customWidth="1"/>
    <x:col min="6" max="6" width="12" hidden="0" customWidth="1"/>
    <x:col min="7" max="7" width="12" hidden="0" customWidth="1"/>
    <x:col min="8" max="8" width="30" hidden="0" customWidth="1"/>
    <x:col min="9" max="9" width="30" hidden="0" customWidth="1"/>
  </x:cols>
  <x:sheetData>
    <x:row r="1" ht="34" customHeight="1">
      <x:c r="A1" s="46" t="str">
        <x:v>Worked Example</x:v>
      </x:c>
      <x:c r="B1" s="46" t="str">
        <x:v>Worked Example</x:v>
      </x:c>
      <x:c r="C1" s="46" t="str">
        <x:v>Worked Example</x:v>
      </x:c>
      <x:c r="D1" s="46" t="str">
        <x:v>Worked Example</x:v>
      </x:c>
      <x:c r="E1" s="46" t="str">
        <x:v>Worked Example</x:v>
      </x:c>
      <x:c r="F1" s="46" t="str">
        <x:v>Worked Example</x:v>
      </x:c>
      <x:c r="G1" s="46" t="str">
        <x:v>Worked Example</x:v>
      </x:c>
      <x:c r="H1" s="46" t="str">
        <x:v>Worked Example</x:v>
      </x:c>
      <x:c r="I1" s="46" t="str">
        <x:v>Worked Example</x:v>
      </x:c>
    </x:row>
    <x:row r="2" ht="34" customHeight="1">
      <x:c r="A2" s="49" t="str">
        <x:v>Examples only—do not copy these rows into your course unless they belong in your curriculum.</x:v>
      </x:c>
      <x:c r="B2" s="49" t="str">
        <x:v>Examples only—do not copy these rows into your course unless they belong in your curriculum.</x:v>
      </x:c>
      <x:c r="C2" s="49" t="str">
        <x:v>Examples only—do not copy these rows into your course unless they belong in your curriculum.</x:v>
      </x:c>
      <x:c r="D2" s="49" t="str">
        <x:v>Examples only—do not copy these rows into your course unless they belong in your curriculum.</x:v>
      </x:c>
      <x:c r="E2" s="49" t="str">
        <x:v>Examples only—do not copy these rows into your course unless they belong in your curriculum.</x:v>
      </x:c>
      <x:c r="F2" s="49" t="str">
        <x:v>Examples only—do not copy these rows into your course unless they belong in your curriculum.</x:v>
      </x:c>
      <x:c r="G2" s="49" t="str">
        <x:v>Examples only—do not copy these rows into your course unless they belong in your curriculum.</x:v>
      </x:c>
      <x:c r="H2" s="49" t="str">
        <x:v>Examples only—do not copy these rows into your course unless they belong in your curriculum.</x:v>
      </x:c>
      <x:c r="I2" s="49" t="str">
        <x:v>Examples only—do not copy these rows into your course unless they belong in your curriculum.</x:v>
      </x:c>
    </x:row>
    <x:row r="4" ht="30" customHeight="1">
      <x:c r="A4" s="14" t="str">
        <x:v>Type</x:v>
      </x:c>
      <x:c r="B4" s="28" t="str">
        <x:v>Challenge ID</x:v>
      </x:c>
      <x:c r="C4" s="28" t="str">
        <x:v>Question / Prompt</x:v>
      </x:c>
      <x:c r="D4" s="28" t="str">
        <x:v>Option Order</x:v>
      </x:c>
      <x:c r="E4" s="28" t="str">
        <x:v>Option Text</x:v>
      </x:c>
      <x:c r="F4" s="28" t="str">
        <x:v>Correct?</x:v>
      </x:c>
      <x:c r="G4" s="28" t="str">
        <x:v>Emoji</x:v>
      </x:c>
      <x:c r="H4" s="28" t="str">
        <x:v>Audio Text</x:v>
      </x:c>
      <x:c r="I4" s="15" t="str">
        <x:v>Key rule</x:v>
      </x:c>
    </x:row>
    <x:row r="5" ht="32" customHeight="1">
      <x:c r="A5" s="82" t="str">
        <x:v>SELECT</x:v>
      </x:c>
      <x:c r="B5" s="76" t="str">
        <x:v>EX-01</x:v>
      </x:c>
      <x:c r="C5" s="76" t="str">
        <x:v>Which greeting is used in the morning?</x:v>
      </x:c>
      <x:c r="D5" s="76" t="n">
        <x:v>1</x:v>
      </x:c>
      <x:c r="E5" s="76" t="str">
        <x:v>Good morning</x:v>
      </x:c>
      <x:c r="F5" s="76" t="str">
        <x:v>TRUE</x:v>
      </x:c>
      <x:c r="G5" s="76" t="str">
        <x:v>☀️</x:v>
      </x:c>
      <x:c r="H5" s="76" t="str">
        <x:v>Good morning</x:v>
      </x:c>
      <x:c r="I5" s="76" t="str">
        <x:v>Exactly one TRUE</x:v>
      </x:c>
    </x:row>
    <x:row r="6" ht="32" customHeight="1">
      <x:c r="A6" s="83" t="str">
        <x:v>SELECT</x:v>
      </x:c>
      <x:c r="B6" s="77" t="str">
        <x:v>EX-01</x:v>
      </x:c>
      <x:c r="C6" s="77" t="str">
        <x:v>Which greeting is used in the morning?</x:v>
      </x:c>
      <x:c r="D6" s="77" t="n">
        <x:v>2</x:v>
      </x:c>
      <x:c r="E6" s="77" t="str">
        <x:v>Good night</x:v>
      </x:c>
      <x:c r="F6" s="77" t="str">
        <x:v>FALSE</x:v>
      </x:c>
      <x:c r="G6" s="77" t="str">
        <x:v>🌙</x:v>
      </x:c>
      <x:c r="H6" s="77" t="str">
        <x:v>Good night</x:v>
      </x:c>
      <x:c r="I6" s="77" t="str"/>
    </x:row>
    <x:row r="7" ht="32" customHeight="1">
      <x:c r="A7" s="83" t="str">
        <x:v>SELECT</x:v>
      </x:c>
      <x:c r="B7" s="77" t="str">
        <x:v>EX-01</x:v>
      </x:c>
      <x:c r="C7" s="77" t="str">
        <x:v>Which greeting is used in the morning?</x:v>
      </x:c>
      <x:c r="D7" s="77" t="n">
        <x:v>3</x:v>
      </x:c>
      <x:c r="E7" s="77" t="str">
        <x:v>Goodbye</x:v>
      </x:c>
      <x:c r="F7" s="77" t="str">
        <x:v>FALSE</x:v>
      </x:c>
      <x:c r="G7" s="77" t="str">
        <x:v>👋</x:v>
      </x:c>
      <x:c r="H7" s="77" t="str">
        <x:v>Goodbye</x:v>
      </x:c>
      <x:c r="I7" s="77" t="str"/>
    </x:row>
    <x:row r="8" ht="32" customHeight="1">
      <x:c r="A8" s="83" t="str">
        <x:v>ASSIST</x:v>
      </x:c>
      <x:c r="B8" s="77" t="str">
        <x:v>EX-02</x:v>
      </x:c>
      <x:c r="C8" s="77" t="str">
        <x:v>Choose the Malay translation for “Thank you.”</x:v>
      </x:c>
      <x:c r="D8" s="77" t="n">
        <x:v>1</x:v>
      </x:c>
      <x:c r="E8" s="77" t="str">
        <x:v>Terima kasih</x:v>
      </x:c>
      <x:c r="F8" s="77" t="str">
        <x:v>TRUE</x:v>
      </x:c>
      <x:c r="G8" s="77" t="str">
        <x:v>🙏</x:v>
      </x:c>
      <x:c r="H8" s="77" t="str">
        <x:v>Terima kasih</x:v>
      </x:c>
      <x:c r="I8" s="77" t="str">
        <x:v>Exactly one TRUE</x:v>
      </x:c>
    </x:row>
    <x:row r="9" ht="32" customHeight="1">
      <x:c r="A9" s="83" t="str">
        <x:v>ASSIST</x:v>
      </x:c>
      <x:c r="B9" s="77" t="str">
        <x:v>EX-02</x:v>
      </x:c>
      <x:c r="C9" s="77" t="str">
        <x:v>Choose the Malay translation for “Thank you.”</x:v>
      </x:c>
      <x:c r="D9" s="77" t="n">
        <x:v>2</x:v>
      </x:c>
      <x:c r="E9" s="77" t="str">
        <x:v>Selamat pagi</x:v>
      </x:c>
      <x:c r="F9" s="77" t="str">
        <x:v>FALSE</x:v>
      </x:c>
      <x:c r="G9" s="77" t="str">
        <x:v>☀️</x:v>
      </x:c>
      <x:c r="H9" s="77" t="str">
        <x:v>Selamat pagi</x:v>
      </x:c>
      <x:c r="I9" s="77" t="str"/>
    </x:row>
    <x:row r="10" ht="32" customHeight="1">
      <x:c r="A10" s="83" t="str">
        <x:v>CLOZE</x:v>
      </x:c>
      <x:c r="B10" s="77" t="str">
        <x:v>EX-03</x:v>
      </x:c>
      <x:c r="C10" s="77" t="str">
        <x:v>I ___ to school every day.</x:v>
      </x:c>
      <x:c r="D10" s="77" t="n">
        <x:v>1</x:v>
      </x:c>
      <x:c r="E10" s="77" t="str">
        <x:v>walk</x:v>
      </x:c>
      <x:c r="F10" s="77" t="str">
        <x:v>TRUE</x:v>
      </x:c>
      <x:c r="G10" s="77" t="str">
        <x:v>🚶</x:v>
      </x:c>
      <x:c r="H10" s="77" t="str">
        <x:v>walk</x:v>
      </x:c>
      <x:c r="I10" s="77" t="str">
        <x:v>Exactly one TRUE</x:v>
      </x:c>
    </x:row>
    <x:row r="11" ht="32" customHeight="1">
      <x:c r="A11" s="83" t="str">
        <x:v>CLOZE</x:v>
      </x:c>
      <x:c r="B11" s="77" t="str">
        <x:v>EX-03</x:v>
      </x:c>
      <x:c r="C11" s="77" t="str">
        <x:v>I ___ to school every day.</x:v>
      </x:c>
      <x:c r="D11" s="77" t="n">
        <x:v>2</x:v>
      </x:c>
      <x:c r="E11" s="77" t="str">
        <x:v>walks</x:v>
      </x:c>
      <x:c r="F11" s="77" t="str">
        <x:v>FALSE</x:v>
      </x:c>
      <x:c r="G11" s="77" t="str"/>
      <x:c r="H11" s="77" t="str">
        <x:v>walks</x:v>
      </x:c>
      <x:c r="I11" s="77" t="str"/>
    </x:row>
    <x:row r="12" ht="32" customHeight="1">
      <x:c r="A12" s="83" t="str">
        <x:v>CLOZE</x:v>
      </x:c>
      <x:c r="B12" s="77" t="str">
        <x:v>EX-03</x:v>
      </x:c>
      <x:c r="C12" s="77" t="str">
        <x:v>I ___ to school every day.</x:v>
      </x:c>
      <x:c r="D12" s="77" t="n">
        <x:v>3</x:v>
      </x:c>
      <x:c r="E12" s="77" t="str">
        <x:v>walked</x:v>
      </x:c>
      <x:c r="F12" s="77" t="str">
        <x:v>FALSE</x:v>
      </x:c>
      <x:c r="G12" s="77" t="str"/>
      <x:c r="H12" s="77" t="str">
        <x:v>walked</x:v>
      </x:c>
      <x:c r="I12" s="77" t="str"/>
    </x:row>
    <x:row r="13" ht="32" customHeight="1">
      <x:c r="A13" s="83" t="str">
        <x:v>ODD_ONE_OUT</x:v>
      </x:c>
      <x:c r="B13" s="77" t="str">
        <x:v>EX-04</x:v>
      </x:c>
      <x:c r="C13" s="77" t="str">
        <x:v>Which word does not belong?</x:v>
      </x:c>
      <x:c r="D13" s="77" t="n">
        <x:v>1</x:v>
      </x:c>
      <x:c r="E13" s="77" t="str">
        <x:v>apple</x:v>
      </x:c>
      <x:c r="F13" s="77" t="str">
        <x:v>FALSE</x:v>
      </x:c>
      <x:c r="G13" s="77" t="str">
        <x:v>🍎</x:v>
      </x:c>
      <x:c r="H13" s="77" t="str">
        <x:v>apple</x:v>
      </x:c>
      <x:c r="I13" s="77" t="str">
        <x:v>TRUE marks the odd item</x:v>
      </x:c>
    </x:row>
    <x:row r="14" ht="32" customHeight="1">
      <x:c r="A14" s="83" t="str">
        <x:v>ODD_ONE_OUT</x:v>
      </x:c>
      <x:c r="B14" s="77" t="str">
        <x:v>EX-04</x:v>
      </x:c>
      <x:c r="C14" s="77" t="str">
        <x:v>Which word does not belong?</x:v>
      </x:c>
      <x:c r="D14" s="77" t="n">
        <x:v>2</x:v>
      </x:c>
      <x:c r="E14" s="77" t="str">
        <x:v>banana</x:v>
      </x:c>
      <x:c r="F14" s="77" t="str">
        <x:v>FALSE</x:v>
      </x:c>
      <x:c r="G14" s="77" t="str">
        <x:v>🍌</x:v>
      </x:c>
      <x:c r="H14" s="77" t="str">
        <x:v>banana</x:v>
      </x:c>
      <x:c r="I14" s="77" t="str"/>
    </x:row>
    <x:row r="15" ht="32" customHeight="1">
      <x:c r="A15" s="83" t="str">
        <x:v>ODD_ONE_OUT</x:v>
      </x:c>
      <x:c r="B15" s="77" t="str">
        <x:v>EX-04</x:v>
      </x:c>
      <x:c r="C15" s="77" t="str">
        <x:v>Which word does not belong?</x:v>
      </x:c>
      <x:c r="D15" s="77" t="n">
        <x:v>3</x:v>
      </x:c>
      <x:c r="E15" s="77" t="str">
        <x:v>book</x:v>
      </x:c>
      <x:c r="F15" s="77" t="str">
        <x:v>TRUE</x:v>
      </x:c>
      <x:c r="G15" s="77" t="str">
        <x:v>📘</x:v>
      </x:c>
      <x:c r="H15" s="77" t="str">
        <x:v>book</x:v>
      </x:c>
      <x:c r="I15" s="77" t="str"/>
    </x:row>
    <x:row r="16" ht="32" customHeight="1">
      <x:c r="A16" s="83" t="str">
        <x:v>REORDER</x:v>
      </x:c>
      <x:c r="B16" s="77" t="str">
        <x:v>EX-05</x:v>
      </x:c>
      <x:c r="C16" s="77" t="str">
        <x:v>Put the words in the correct order.</x:v>
      </x:c>
      <x:c r="D16" s="77" t="n">
        <x:v>1</x:v>
      </x:c>
      <x:c r="E16" s="77" t="str">
        <x:v>I</x:v>
      </x:c>
      <x:c r="F16" s="77" t="str">
        <x:v>TRUE</x:v>
      </x:c>
      <x:c r="G16" s="77" t="str"/>
      <x:c r="H16" s="77" t="str">
        <x:v>I</x:v>
      </x:c>
      <x:c r="I16" s="77" t="str">
        <x:v>All TRUE; target order</x:v>
      </x:c>
    </x:row>
    <x:row r="17" ht="32" customHeight="1">
      <x:c r="A17" s="83" t="str">
        <x:v>REORDER</x:v>
      </x:c>
      <x:c r="B17" s="77" t="str">
        <x:v>EX-05</x:v>
      </x:c>
      <x:c r="C17" s="77" t="str">
        <x:v>Put the words in the correct order.</x:v>
      </x:c>
      <x:c r="D17" s="77" t="n">
        <x:v>2</x:v>
      </x:c>
      <x:c r="E17" s="77" t="str">
        <x:v>am</x:v>
      </x:c>
      <x:c r="F17" s="77" t="str">
        <x:v>TRUE</x:v>
      </x:c>
      <x:c r="G17" s="77" t="str"/>
      <x:c r="H17" s="77" t="str">
        <x:v>am</x:v>
      </x:c>
      <x:c r="I17" s="77" t="str"/>
    </x:row>
    <x:row r="18" ht="32" customHeight="1">
      <x:c r="A18" s="83" t="str">
        <x:v>REORDER</x:v>
      </x:c>
      <x:c r="B18" s="77" t="str">
        <x:v>EX-05</x:v>
      </x:c>
      <x:c r="C18" s="77" t="str">
        <x:v>Put the words in the correct order.</x:v>
      </x:c>
      <x:c r="D18" s="77" t="n">
        <x:v>3</x:v>
      </x:c>
      <x:c r="E18" s="77" t="str">
        <x:v>a</x:v>
      </x:c>
      <x:c r="F18" s="77" t="str">
        <x:v>TRUE</x:v>
      </x:c>
      <x:c r="G18" s="77" t="str"/>
      <x:c r="H18" s="77" t="str">
        <x:v>a</x:v>
      </x:c>
      <x:c r="I18" s="77" t="str"/>
    </x:row>
    <x:row r="19" ht="32" customHeight="1">
      <x:c r="A19" s="83" t="str">
        <x:v>REORDER</x:v>
      </x:c>
      <x:c r="B19" s="77" t="str">
        <x:v>EX-05</x:v>
      </x:c>
      <x:c r="C19" s="77" t="str">
        <x:v>Put the words in the correct order.</x:v>
      </x:c>
      <x:c r="D19" s="77" t="n">
        <x:v>4</x:v>
      </x:c>
      <x:c r="E19" s="77" t="str">
        <x:v>student</x:v>
      </x:c>
      <x:c r="F19" s="77" t="str">
        <x:v>TRUE</x:v>
      </x:c>
      <x:c r="G19" s="77" t="str">
        <x:v>🎓</x:v>
      </x:c>
      <x:c r="H19" s="77" t="str">
        <x:v>student</x:v>
      </x:c>
      <x:c r="I19" s="77" t="str"/>
    </x:row>
    <x:row r="20" ht="32" customHeight="1">
      <x:c r="A20" s="83" t="str">
        <x:v>MATCHING</x:v>
      </x:c>
      <x:c r="B20" s="77" t="str">
        <x:v>EX-06</x:v>
      </x:c>
      <x:c r="C20" s="77" t="str">
        <x:v>Match each phrase to its meaning.</x:v>
      </x:c>
      <x:c r="D20" s="77" t="n">
        <x:v>1</x:v>
      </x:c>
      <x:c r="E20" s="77" t="str">
        <x:v>Selamat pagi</x:v>
      </x:c>
      <x:c r="F20" s="77" t="str">
        <x:v>TRUE</x:v>
      </x:c>
      <x:c r="G20" s="77" t="str"/>
      <x:c r="H20" s="77" t="str">
        <x:v>Selamat pagi</x:v>
      </x:c>
      <x:c r="I20" s="77" t="str">
        <x:v>Consecutive pairs; all TRUE</x:v>
      </x:c>
    </x:row>
    <x:row r="21" ht="32" customHeight="1">
      <x:c r="A21" s="83" t="str">
        <x:v>MATCHING</x:v>
      </x:c>
      <x:c r="B21" s="77" t="str">
        <x:v>EX-06</x:v>
      </x:c>
      <x:c r="C21" s="77" t="str">
        <x:v>Match each phrase to its meaning.</x:v>
      </x:c>
      <x:c r="D21" s="77" t="n">
        <x:v>2</x:v>
      </x:c>
      <x:c r="E21" s="77" t="str">
        <x:v>Good morning</x:v>
      </x:c>
      <x:c r="F21" s="77" t="str">
        <x:v>TRUE</x:v>
      </x:c>
      <x:c r="G21" s="77" t="str"/>
      <x:c r="H21" s="77" t="str">
        <x:v>Good morning</x:v>
      </x:c>
      <x:c r="I21" s="77" t="str">
        <x:v>Pair 1</x:v>
      </x:c>
    </x:row>
    <x:row r="22" ht="32" customHeight="1">
      <x:c r="A22" s="83" t="str">
        <x:v>MATCHING</x:v>
      </x:c>
      <x:c r="B22" s="77" t="str">
        <x:v>EX-06</x:v>
      </x:c>
      <x:c r="C22" s="77" t="str">
        <x:v>Match each phrase to its meaning.</x:v>
      </x:c>
      <x:c r="D22" s="77" t="n">
        <x:v>3</x:v>
      </x:c>
      <x:c r="E22" s="77" t="str">
        <x:v>Terima kasih</x:v>
      </x:c>
      <x:c r="F22" s="77" t="str">
        <x:v>TRUE</x:v>
      </x:c>
      <x:c r="G22" s="77" t="str"/>
      <x:c r="H22" s="77" t="str">
        <x:v>Terima kasih</x:v>
      </x:c>
      <x:c r="I22" s="77" t="str"/>
    </x:row>
    <x:row r="23" ht="32" customHeight="1">
      <x:c r="A23" s="83" t="str">
        <x:v>MATCHING</x:v>
      </x:c>
      <x:c r="B23" s="77" t="str">
        <x:v>EX-06</x:v>
      </x:c>
      <x:c r="C23" s="77" t="str">
        <x:v>Match each phrase to its meaning.</x:v>
      </x:c>
      <x:c r="D23" s="77" t="n">
        <x:v>4</x:v>
      </x:c>
      <x:c r="E23" s="77" t="str">
        <x:v>Thank you</x:v>
      </x:c>
      <x:c r="F23" s="77" t="str">
        <x:v>TRUE</x:v>
      </x:c>
      <x:c r="G23" s="77" t="str"/>
      <x:c r="H23" s="77" t="str">
        <x:v>Thank you</x:v>
      </x:c>
      <x:c r="I23" s="77" t="str">
        <x:v>Pair 2</x:v>
      </x:c>
    </x:row>
    <x:row r="24" ht="32" customHeight="1">
      <x:c r="A24" s="83" t="str">
        <x:v>MINIMAL_PAIR_LISTENING</x:v>
      </x:c>
      <x:c r="B24" s="77" t="str">
        <x:v>EX-07</x:v>
      </x:c>
      <x:c r="C24" s="77" t="str">
        <x:v>Listen and choose the word you hear.</x:v>
      </x:c>
      <x:c r="D24" s="77" t="n">
        <x:v>1</x:v>
      </x:c>
      <x:c r="E24" s="77" t="str">
        <x:v>ship</x:v>
      </x:c>
      <x:c r="F24" s="77" t="str">
        <x:v>TRUE</x:v>
      </x:c>
      <x:c r="G24" s="77" t="str">
        <x:v>🚢</x:v>
      </x:c>
      <x:c r="H24" s="77" t="str">
        <x:v>ship</x:v>
      </x:c>
      <x:c r="I24" s="77" t="str">
        <x:v>Exactly one TRUE</x:v>
      </x:c>
    </x:row>
    <x:row r="25" ht="32" customHeight="1">
      <x:c r="A25" s="83" t="str">
        <x:v>MINIMAL_PAIR_LISTENING</x:v>
      </x:c>
      <x:c r="B25" s="77" t="str">
        <x:v>EX-07</x:v>
      </x:c>
      <x:c r="C25" s="77" t="str">
        <x:v>Listen and choose the word you hear.</x:v>
      </x:c>
      <x:c r="D25" s="77" t="n">
        <x:v>2</x:v>
      </x:c>
      <x:c r="E25" s="77" t="str">
        <x:v>sheep</x:v>
      </x:c>
      <x:c r="F25" s="77" t="str">
        <x:v>FALSE</x:v>
      </x:c>
      <x:c r="G25" s="77" t="str">
        <x:v>🐑</x:v>
      </x:c>
      <x:c r="H25" s="77" t="str">
        <x:v>sheep</x:v>
      </x:c>
      <x:c r="I25" s="77" t="str"/>
    </x:row>
    <x:row r="26" ht="32" customHeight="1">
      <x:c r="A26" s="83" t="str">
        <x:v>DICTATION</x:v>
      </x:c>
      <x:c r="B26" s="77" t="str">
        <x:v>EX-08</x:v>
      </x:c>
      <x:c r="C26" s="77" t="str">
        <x:v>Listen and type the phrase.</x:v>
      </x:c>
      <x:c r="D26" s="77" t="n">
        <x:v>1</x:v>
      </x:c>
      <x:c r="E26" s="77" t="str">
        <x:v>Selamat pagi</x:v>
      </x:c>
      <x:c r="F26" s="77" t="str">
        <x:v>TRUE</x:v>
      </x:c>
      <x:c r="G26" s="77" t="str">
        <x:v>☀️</x:v>
      </x:c>
      <x:c r="H26" s="77" t="str">
        <x:v>Selamat pagi</x:v>
      </x:c>
      <x:c r="I26" s="77" t="str">
        <x:v>Exactly one row</x:v>
      </x:c>
    </x:row>
    <x:row r="27" ht="32" customHeight="1">
      <x:c r="A27" s="83" t="str">
        <x:v>GRAMMAR_TRANSFORM</x:v>
      </x:c>
      <x:c r="B27" s="77" t="str">
        <x:v>EX-09</x:v>
      </x:c>
      <x:c r="C27" s="77" t="str">
        <x:v>Change “She walks to school” into the past tense.</x:v>
      </x:c>
      <x:c r="D27" s="77" t="n">
        <x:v>1</x:v>
      </x:c>
      <x:c r="E27" s="77" t="str">
        <x:v>She walked to school</x:v>
      </x:c>
      <x:c r="F27" s="77" t="str">
        <x:v>TRUE</x:v>
      </x:c>
      <x:c r="G27" s="77" t="str"/>
      <x:c r="H27" s="77" t="str">
        <x:v>She walked to school</x:v>
      </x:c>
      <x:c r="I27" s="77" t="str">
        <x:v>Exactly one TRUE</x:v>
      </x:c>
    </x:row>
    <x:row r="28" ht="32" customHeight="1">
      <x:c r="A28" s="83" t="str">
        <x:v>GRAMMAR_TRANSFORM</x:v>
      </x:c>
      <x:c r="B28" s="77" t="str">
        <x:v>EX-09</x:v>
      </x:c>
      <x:c r="C28" s="77" t="str">
        <x:v>Change “She walks to school” into the past tense.</x:v>
      </x:c>
      <x:c r="D28" s="77" t="n">
        <x:v>2</x:v>
      </x:c>
      <x:c r="E28" s="77" t="str">
        <x:v>She walks to school</x:v>
      </x:c>
      <x:c r="F28" s="77" t="str">
        <x:v>FALSE</x:v>
      </x:c>
      <x:c r="G28" s="77" t="str"/>
      <x:c r="H28" s="77" t="str">
        <x:v>She walks to school</x:v>
      </x:c>
      <x:c r="I28" s="77" t="str"/>
    </x:row>
    <x:row r="29" ht="32" customHeight="1">
      <x:c r="A29" s="83" t="str">
        <x:v>GRAMMAR_TRANSFORM</x:v>
      </x:c>
      <x:c r="B29" s="77" t="str">
        <x:v>EX-09</x:v>
      </x:c>
      <x:c r="C29" s="77" t="str">
        <x:v>Change “She walks to school” into the past tense.</x:v>
      </x:c>
      <x:c r="D29" s="77" t="n">
        <x:v>3</x:v>
      </x:c>
      <x:c r="E29" s="77" t="str">
        <x:v>She walking to school</x:v>
      </x:c>
      <x:c r="F29" s="77" t="str">
        <x:v>FALSE</x:v>
      </x:c>
      <x:c r="G29" s="77" t="str"/>
      <x:c r="H29" s="77" t="str">
        <x:v>She walking to school</x:v>
      </x:c>
      <x:c r="I29" s="77" t="str"/>
    </x:row>
  </x:sheetData>
  <x:mergeCells>
    <x:mergeCell ref="A1:I1"/>
    <x:mergeCell ref="A2:I2"/>
  </x:mergeCells>
  <x:conditionalFormatting sqref="F5:F29">
    <x:cfRule type="expression" dxfId="11" priority="1">
      <x:formula>$F5="TRUE"</x:formula>
    </x:cfRule>
  </x:conditionalFormatting>
  <x:pageMargins left="0.7" right="0.7" top="0.75" bottom="0.75" header="0.3" footer="0.3"/>
</x:worksheet>
</file>